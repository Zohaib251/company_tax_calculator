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1c2d5f9d09f2b0/Desktop/company 1/"/>
    </mc:Choice>
  </mc:AlternateContent>
  <xr:revisionPtr revIDLastSave="4" documentId="13_ncr:1_{B4043AC5-FEE7-4DF6-8E06-8AAE81C9CA92}" xr6:coauthVersionLast="47" xr6:coauthVersionMax="47" xr10:uidLastSave="{6C858946-1A17-4ABB-B7C2-D4C9DCA1C505}"/>
  <bookViews>
    <workbookView xWindow="-113" yWindow="-113" windowWidth="24267" windowHeight="13023" xr2:uid="{62802EC6-B32D-478B-93BD-BFB9F05E93D8}"/>
  </bookViews>
  <sheets>
    <sheet name="Computaion" sheetId="1" r:id="rId1"/>
  </sheets>
  <definedNames>
    <definedName name="_xlnm.Print_Area" localSheetId="0">Computaion!$A$1:$E$160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1" l="1"/>
  <c r="C95" i="1"/>
  <c r="C96" i="1"/>
  <c r="C111" i="1"/>
  <c r="C113" i="1"/>
  <c r="E130" i="1"/>
  <c r="C112" i="1"/>
  <c r="C3" i="1"/>
  <c r="E146" i="1"/>
  <c r="E117" i="1"/>
  <c r="E118" i="1"/>
  <c r="E119" i="1"/>
  <c r="E120" i="1"/>
  <c r="E116" i="1"/>
  <c r="C97" i="1"/>
  <c r="C99" i="1"/>
  <c r="C98" i="1"/>
  <c r="E4" i="1"/>
  <c r="E9" i="1"/>
  <c r="E124" i="1"/>
  <c r="C15" i="1"/>
  <c r="D10" i="1"/>
  <c r="E10" i="1" s="1"/>
  <c r="C8" i="1"/>
  <c r="D5" i="1"/>
  <c r="C123" i="1"/>
  <c r="C101" i="1"/>
  <c r="C56" i="1"/>
  <c r="C28" i="1"/>
  <c r="C110" i="1" l="1"/>
  <c r="E123" i="1"/>
  <c r="E5" i="1"/>
  <c r="E3" i="1" s="1"/>
  <c r="E132" i="1" s="1"/>
  <c r="C68" i="1"/>
  <c r="C13" i="1"/>
  <c r="C26" i="1" s="1"/>
  <c r="C66" i="1" s="1"/>
  <c r="E131" i="1" s="1"/>
  <c r="D7" i="1"/>
  <c r="D3" i="1"/>
  <c r="D94" i="1" l="1"/>
  <c r="E94" i="1" s="1"/>
  <c r="D96" i="1"/>
  <c r="E96" i="1" s="1"/>
  <c r="D95" i="1"/>
  <c r="E95" i="1" s="1"/>
  <c r="E7" i="1"/>
  <c r="D62" i="1"/>
  <c r="E62" i="1" s="1"/>
  <c r="D29" i="1"/>
  <c r="C108" i="1"/>
  <c r="C115" i="1" s="1"/>
  <c r="C121" i="1" s="1"/>
  <c r="C126" i="1" s="1"/>
  <c r="D113" i="1"/>
  <c r="E113" i="1" s="1"/>
  <c r="D112" i="1"/>
  <c r="E112" i="1" s="1"/>
  <c r="D111" i="1"/>
  <c r="D106" i="1"/>
  <c r="E106" i="1" s="1"/>
  <c r="D105" i="1"/>
  <c r="E105" i="1" s="1"/>
  <c r="D104" i="1"/>
  <c r="E104" i="1" s="1"/>
  <c r="D103" i="1"/>
  <c r="E103" i="1" s="1"/>
  <c r="D102" i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7" i="1"/>
  <c r="E97" i="1" s="1"/>
  <c r="D98" i="1"/>
  <c r="E98" i="1" s="1"/>
  <c r="D70" i="1"/>
  <c r="E70" i="1" s="1"/>
  <c r="D71" i="1"/>
  <c r="E71" i="1" s="1"/>
  <c r="D72" i="1"/>
  <c r="E72" i="1" s="1"/>
  <c r="D73" i="1"/>
  <c r="E73" i="1" s="1"/>
  <c r="D74" i="1"/>
  <c r="E74" i="1" s="1"/>
  <c r="D93" i="1"/>
  <c r="E93" i="1" s="1"/>
  <c r="D75" i="1"/>
  <c r="E75" i="1" s="1"/>
  <c r="D76" i="1"/>
  <c r="E76" i="1" s="1"/>
  <c r="D99" i="1"/>
  <c r="E99" i="1" s="1"/>
  <c r="D69" i="1"/>
  <c r="D65" i="1"/>
  <c r="E65" i="1" s="1"/>
  <c r="D58" i="1"/>
  <c r="E58" i="1" s="1"/>
  <c r="D59" i="1"/>
  <c r="E59" i="1" s="1"/>
  <c r="D60" i="1"/>
  <c r="E60" i="1" s="1"/>
  <c r="D61" i="1"/>
  <c r="E61" i="1" s="1"/>
  <c r="D63" i="1"/>
  <c r="E63" i="1" s="1"/>
  <c r="D64" i="1"/>
  <c r="E64" i="1" s="1"/>
  <c r="D57" i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1" i="1"/>
  <c r="E11" i="1" s="1"/>
  <c r="E8" i="1" s="1"/>
  <c r="E13" i="1" s="1"/>
  <c r="E111" i="1" l="1"/>
  <c r="E110" i="1" s="1"/>
  <c r="D110" i="1"/>
  <c r="E102" i="1"/>
  <c r="E101" i="1" s="1"/>
  <c r="D101" i="1"/>
  <c r="E15" i="1"/>
  <c r="E26" i="1" s="1"/>
  <c r="E29" i="1"/>
  <c r="E28" i="1" s="1"/>
  <c r="D28" i="1"/>
  <c r="E69" i="1"/>
  <c r="E68" i="1" s="1"/>
  <c r="D68" i="1"/>
  <c r="E57" i="1"/>
  <c r="E56" i="1" s="1"/>
  <c r="D56" i="1"/>
  <c r="D15" i="1"/>
  <c r="D8" i="1"/>
  <c r="D13" i="1" s="1"/>
  <c r="D26" i="1" l="1"/>
  <c r="D66" i="1" s="1"/>
  <c r="D108" i="1" s="1"/>
  <c r="D115" i="1" s="1"/>
  <c r="D121" i="1" s="1"/>
  <c r="E66" i="1"/>
  <c r="E108" i="1" s="1"/>
  <c r="E115" i="1" s="1"/>
  <c r="E121" i="1" s="1"/>
  <c r="E126" i="1" s="1"/>
  <c r="E129" i="1" l="1"/>
  <c r="E136" i="1" s="1"/>
  <c r="E133" i="1" l="1"/>
  <c r="E128" i="1" l="1"/>
  <c r="E140" i="1" l="1"/>
  <c r="C141" i="1"/>
  <c r="E141" i="1" s="1"/>
  <c r="E139" i="1" l="1"/>
  <c r="E144" i="1" s="1"/>
  <c r="E152" i="1" s="1"/>
  <c r="E153" i="1" s="1"/>
</calcChain>
</file>

<file path=xl/sharedStrings.xml><?xml version="1.0" encoding="utf-8"?>
<sst xmlns="http://schemas.openxmlformats.org/spreadsheetml/2006/main" count="152" uniqueCount="143">
  <si>
    <t>TOTAL AMOUNTS</t>
  </si>
  <si>
    <t>AMOUNT EXEMPT FROM TAX/ SUBJECT TO FIXED/ FINAL TAX</t>
  </si>
  <si>
    <t>AMOUNT SUBJECT TO NORMAL TAX</t>
  </si>
  <si>
    <t>NET REVENUE (EXCLUDING SALES TAX, FEDERAL EXCISE, BROKERAGE, COMMISSION, DISCOUNT, FREIGHT OUTWARD)</t>
  </si>
  <si>
    <t>GROSS REVENUE ( EXCLUDING SALES TAX &amp; FEDERAL EXCISE DUTY)</t>
  </si>
  <si>
    <t>GROSS DOMESTIC SALES/ SERVICES FEE</t>
  </si>
  <si>
    <t>GROSS EXPORT SALES/ SERVICES FEE</t>
  </si>
  <si>
    <t>SELLING EXPENSES(FREIGHT OUTWARD, BROKERAGE, COMMISSION, DISCOUNT etc.)</t>
  </si>
  <si>
    <t xml:space="preserve">DOMESTIC COMMISSION/ BROKERAGE/ DISCOUNT/ FREIGHT OUTWARD, etc. </t>
  </si>
  <si>
    <t xml:space="preserve">FOREIGN COMMISSION/ BROKERAGE/ DISCOUNT/ FREIGHT OUTWARD, etc. </t>
  </si>
  <si>
    <t>REBATE/ DUTY DRAWBACKS</t>
  </si>
  <si>
    <t>COST OF SALES/ SERVICES</t>
  </si>
  <si>
    <t>DIRECT EXPENSES</t>
  </si>
  <si>
    <t>SALARIES/ WAGES</t>
  </si>
  <si>
    <t>POWER</t>
  </si>
  <si>
    <t>GAS</t>
  </si>
  <si>
    <t>REPAIR/ MAINTENANCE</t>
  </si>
  <si>
    <t>INSURANCE</t>
  </si>
  <si>
    <t>ROYALTY</t>
  </si>
  <si>
    <t>OTHER DIRECT EXPENSES</t>
  </si>
  <si>
    <t>ACCOUNTING AMORTISATION</t>
  </si>
  <si>
    <t>ACCOUNTING DEPRECIATION</t>
  </si>
  <si>
    <t>GROSS PROFIT/ (LOSS)</t>
  </si>
  <si>
    <t>MANAGEMENT, ADMINISTRATIVE, SELLING &amp; FINANCIAL EXPENSES</t>
  </si>
  <si>
    <t>RENT</t>
  </si>
  <si>
    <t>RATES / TAXES / CESS</t>
  </si>
  <si>
    <t>SALARIES / WAGES / PERQUISITES / BENEFITS</t>
  </si>
  <si>
    <t>TRAVELING / CONVEYANCE / VEHICLES RUNNING / MAINTENANCE</t>
  </si>
  <si>
    <t>ELECTRICITY / WATER / GAS</t>
  </si>
  <si>
    <t>COMMUNICATION</t>
  </si>
  <si>
    <t>REPAIR / MAINTENANCE</t>
  </si>
  <si>
    <t>STATIONERY / PRINTING / PHOTOCOPIES / OFFICE SUPPLIES</t>
  </si>
  <si>
    <t>ADVERTISEMENT / PUBLICITY / PROMOTION</t>
  </si>
  <si>
    <t>PROFESSIONAL CHARGES</t>
  </si>
  <si>
    <t>PROFIT ON DEBT (FINANCIAL CHARGES / MARKUP / INTEREST)</t>
  </si>
  <si>
    <t>DONATION / CHARITY</t>
  </si>
  <si>
    <t>BROKERAGE / COMMISSION</t>
  </si>
  <si>
    <t>OTHER INDIRECT EXPENSES</t>
  </si>
  <si>
    <t>DIRECTORS FEE</t>
  </si>
  <si>
    <t>WORKERS PROFIT PARTICIPATION FUND</t>
  </si>
  <si>
    <t>PROVISION FOR DOUBTFUL / BAD DEBTS</t>
  </si>
  <si>
    <t>PROVISION FOR OBSOLETE STOCKS / STORES / SPARES / FIXED ASSETS</t>
  </si>
  <si>
    <t>PROVISION FOR DIMINUTION IN VALUE OF INVESTMENT</t>
  </si>
  <si>
    <t>IRRECOVERABLE DEBTS WRITTEN OFF</t>
  </si>
  <si>
    <t>OBSOLETE STOCKS / STORES / SPARES / FIXED ASSETS WRITTEN OFF</t>
  </si>
  <si>
    <t>ACCOUNTING (LOSS) ON SALE OF INTANGIBLES</t>
  </si>
  <si>
    <t>ACCOUNTING (LOSS) ON SALE OF ASSETS</t>
  </si>
  <si>
    <t>ACCOUNTING AMORTIZATION</t>
  </si>
  <si>
    <t>ADD: OTHER REVENUES</t>
  </si>
  <si>
    <t>OTHER REVENUES</t>
  </si>
  <si>
    <t>FEE FOR TECHNICAL / PROFESSIONAL SERVICES</t>
  </si>
  <si>
    <t>FEE FOR OTHER SERVICES</t>
  </si>
  <si>
    <t>PROFIT ON DEBT</t>
  </si>
  <si>
    <t>LICENSE / FRANCHISE FEE</t>
  </si>
  <si>
    <t>ACCOUNTING GAIN ON SALE OF INTANGIBLES</t>
  </si>
  <si>
    <t>ACCOUNTING GAIN ON SALE OF ASSETS</t>
  </si>
  <si>
    <t>OTHERS</t>
  </si>
  <si>
    <t>ACCOUNTING PROFIT/ (LOSS)</t>
  </si>
  <si>
    <t>INADMISSIBLE DEDUCTIONS</t>
  </si>
  <si>
    <t>ADD BACKS PROVISION FOR DIMINUTION IN VALUE OF INVESTMENT</t>
  </si>
  <si>
    <t>ADD BACKS U/S 21(I) PROVISION FOR RESERVES / FUNDS / AMOUNT CARRIED TO RESERVES / FUNDS OR CAPITALIZED</t>
  </si>
  <si>
    <t>ADD BACKS U/S 21(A) CESS / RATE / TAX LEVIED ON PROFITS / GAINS</t>
  </si>
  <si>
    <t>ADD BACKS U/S 21(B) AMOUNT OF TAX DEDUCTED AT SOURCE</t>
  </si>
  <si>
    <t>ADD BACKS U/S 21(C) PAYMENTS LIABLE TO DEDUCTION OF TAX AT SOURCE BUT TAX NOT DEDUCTED / PAID</t>
  </si>
  <si>
    <t>ADD BACKS U/S 21(E) CONTRIBUTIONS TO UNRECOGNIZED / UNAPPROVED FUNDS</t>
  </si>
  <si>
    <t>ADD BACKS U/S 21(F) CONTRIBUTIONS TO FUNDS NOT UNDER EFFECTIVE ARRANGEMENT FOR DEDUCTION OF TAX AT SOURCE</t>
  </si>
  <si>
    <t>ADD BACKS U/S 21(G) FINE / PENALTY FOR VIOLATION OF ANY LAW / RULE / REGULATION</t>
  </si>
  <si>
    <t>ADD BACKS U/S 21(H) PERSONAL EXPENDITURE</t>
  </si>
  <si>
    <t>ADD BACKS U/S 21(J) PROFIT ON DEBT / BROKERAGE / COMMISSION / SALARY / REMUNERATION PAID BY AN AOP TO ITS MEMBER</t>
  </si>
  <si>
    <t>ADD BACKS U/S 21(L) EXPENDITURE UNDER A SINGLE ACCOUNT HEAD EXCEEDING PRESCRIBED AMOUNT NOT PAID THROUGH PRESCRIBED MODE</t>
  </si>
  <si>
    <t>ADD BACKS U/S 21(L)(A) EXPENDITURE UNDER A SINGLE ACCOUNT HEAD EXCEEDING PRESCRIBED AMOUNT NOT PAID THROUGH DIGITAL MODE</t>
  </si>
  <si>
    <t>ADD BACKS U/S 21(M) SALARY EXCEEDING PRESCRIBED AMOUNT NOT PAID THROUGH PRESCRIBED MODE</t>
  </si>
  <si>
    <t>ADD BACKS U/S 21(N) CAPITAL EXPENDITURE</t>
  </si>
  <si>
    <t>ADD BACKS U/S 67(1) EXPENDITURE ATTRIBUTABLE TO NON-BUSINESS INCOME</t>
  </si>
  <si>
    <t>ADD BACKS U/S 28(1)(B) LEASE RENTAL NOT ADMISSIBLE</t>
  </si>
  <si>
    <t>ADD BACKS TAX GAIN ON SALE OF INTANGIBLES</t>
  </si>
  <si>
    <t>ADD BACKS TAX GAIN ON SALE OF ASSETS</t>
  </si>
  <si>
    <t>ADD BACKS U/S 21(P)  UTILITIY BILLS EXCEEDING PRESCRIBED AMIUNT NOT PAID THROUGH PRESCRIBED MODE</t>
  </si>
  <si>
    <t>DEDUCTION ON PROFIT ON DEBIT INADMISSIBLE U/S 106A</t>
  </si>
  <si>
    <t>ADD BACKS PRE-COMMENCEMENT EXPENDITURE / DEFERRED COST</t>
  </si>
  <si>
    <t>OTHER INADMISSIBLE DEDUCTIONS</t>
  </si>
  <si>
    <t>ADD BACKS ACCOUNTING (LOSS) ON SALE OF INTANGIBLES</t>
  </si>
  <si>
    <t>ADD BACKS ACCOUNTING (LOSS) ON SALE OF ASSETS</t>
  </si>
  <si>
    <t>ADD BACKS ACCOUNTING AMORTIZATION</t>
  </si>
  <si>
    <t>ADD BACKS ACCOUNTING DEPRECIATION</t>
  </si>
  <si>
    <t>INCOME / (LOSS) FROM BUSINESS BEFORE ADJUSTMENT OF ADMISSIBLE DEPRECIATION / INITIAL ALLOWANCE / AMORTIZATION FOR CURRENT / PREVIOUS YEARS</t>
  </si>
  <si>
    <t>ADMISSIBLE DEDUCTIONS OTHER THAN TAX DEPRECIATION/ INITIAL ALLOANCE/ AMORTISATION FOR CURRENT OR PREVIOUS YEARS</t>
  </si>
  <si>
    <t>OTHER ADMISSIBLE DEDUCTIONS</t>
  </si>
  <si>
    <t>TAX (LOSS) ON SALE OF INTANGIBLES</t>
  </si>
  <si>
    <t>TAX (LOSS) ON SALE OF ASSETS</t>
  </si>
  <si>
    <t>TAX DEPRECIATION/ INITIAL ALLOWANCE/ AMORTISATION FOR CURRENT OR PREVIOUS YEARS</t>
  </si>
  <si>
    <t>TAX AMORTIZATION FOR CURRENT YEAR</t>
  </si>
  <si>
    <t>TAX DEPRECIATION / INITIAL ALLOWANCE FOR CURRENT YEAR</t>
  </si>
  <si>
    <t>PRE-COMMENCEMENT EXPENDITURE / DEFERRED COST</t>
  </si>
  <si>
    <t>INCOME/ LOSS FROM BUSINESS</t>
  </si>
  <si>
    <t>INCOME/ LOSS FROM PROPERTY</t>
  </si>
  <si>
    <t>INCOME/ LOSS FROM CAPITAL ASSETS</t>
  </si>
  <si>
    <t>INCOME/ LOSS FROM OTHER SOURCES</t>
  </si>
  <si>
    <t>FOREIGN INCOME</t>
  </si>
  <si>
    <t>AGRICULTURAL INCOME</t>
  </si>
  <si>
    <t>TOTAL INCOME</t>
  </si>
  <si>
    <t>DEDUCTIBLE ALLOWANCES</t>
  </si>
  <si>
    <t>WORKERS WELFARE FUND U/S 60A</t>
  </si>
  <si>
    <t>TAXABLE INCOME</t>
  </si>
  <si>
    <r>
      <t xml:space="preserve">TAX CHARGEABLE 
</t>
    </r>
    <r>
      <rPr>
        <b/>
        <i/>
        <sz val="12"/>
        <color theme="9" tint="-0.249977111117893"/>
        <rFont val="Times New Roman"/>
        <family val="1"/>
      </rPr>
      <t>(Normal income tax will be adjusted against carry forward minimum tax upto the limit of Minimum tax u/s 113 or 113C as after which again minimum will be applied.)</t>
    </r>
  </si>
  <si>
    <t>NORMAL INCOME TAX @ 29%</t>
  </si>
  <si>
    <t>FINAL/ FIXED/ MINIMUM/ AVERAGE/ RELEVANT/ REDUCED INCOME TAX</t>
  </si>
  <si>
    <t>Tax Credit for Charitable Donations u/s 61</t>
  </si>
  <si>
    <t>Tax Credit for Certain Persons (Coal Mining Projects, Startups, IT/IT enabled Services) u/s 65F</t>
  </si>
  <si>
    <t>ACCOUNTING PROFIT / TAX CHARGEABLE 113C @ 17%</t>
  </si>
  <si>
    <t>DIFFERENCE OF MINIMUM TAX CHARGEABLE U/S 113</t>
  </si>
  <si>
    <t>DIFFERENCE OF ALTERNATE CORPORATE TAX U/S 113C</t>
  </si>
  <si>
    <t>WITHHOLDING INCOME TAX</t>
  </si>
  <si>
    <t>ADVANCE INCOME TAX</t>
  </si>
  <si>
    <t>ADVANCE INCOME TAX U/S 147(A)</t>
  </si>
  <si>
    <t>ADMITTED INCOME TAX</t>
  </si>
  <si>
    <t>ADVANCE INCOME TAX U/S 147(5B)</t>
  </si>
  <si>
    <t>REFUNDABLE INCOME TAX</t>
  </si>
  <si>
    <t>Discription</t>
  </si>
  <si>
    <t xml:space="preserve">Is Company registered with PSEB </t>
  </si>
  <si>
    <t>Ratio</t>
  </si>
  <si>
    <r>
      <t xml:space="preserve">ADD BACKS PROVISION FOR </t>
    </r>
    <r>
      <rPr>
        <i/>
        <sz val="12"/>
        <color theme="1"/>
        <rFont val="Times New Roman"/>
        <family val="1"/>
      </rPr>
      <t>OBSOLETE STOCKS / STORES / SPARES /</t>
    </r>
    <r>
      <rPr>
        <sz val="12"/>
        <color theme="1"/>
        <rFont val="Times New Roman"/>
        <family val="1"/>
      </rPr>
      <t xml:space="preserve"> FIXED ASSETS</t>
    </r>
  </si>
  <si>
    <t>TAX CREDIT -</t>
  </si>
  <si>
    <t>TURNOVER/ TAX CHARGEABLE UNDER SECTION 113 @ 1.25%</t>
  </si>
  <si>
    <t>Non Editable</t>
  </si>
  <si>
    <t>Are you a startup(Define as per Income Tax) or IT services Exportor?</t>
  </si>
  <si>
    <t>Backend don’t need to show to user</t>
  </si>
  <si>
    <t>Yes/No selection</t>
  </si>
  <si>
    <t>Color Scheme</t>
  </si>
  <si>
    <t>to be Filled by user</t>
  </si>
  <si>
    <t>Advance Tax Total</t>
  </si>
  <si>
    <t>Blank Space</t>
  </si>
  <si>
    <t>Net TAX LIABILITY</t>
  </si>
  <si>
    <t>Seprate working to made for this</t>
  </si>
  <si>
    <r>
      <t xml:space="preserve">TAX ON HIGH EARNING PERSONS U/S 4C
</t>
    </r>
    <r>
      <rPr>
        <i/>
        <sz val="12"/>
        <color theme="9" tint="-0.249977111117893"/>
        <rFont val="Times New Roman"/>
        <family val="1"/>
      </rPr>
      <t>(4% will be charged on income exceeding Rs. 300M)</t>
    </r>
  </si>
  <si>
    <r>
      <t xml:space="preserve">TAX ON DEEMED INCOME U/S 7E @ 20% (OF 5% OF FMV)
</t>
    </r>
    <r>
      <rPr>
        <i/>
        <sz val="12"/>
        <color theme="9" tint="-0.249977111117893"/>
        <rFont val="Times New Roman"/>
        <family val="1"/>
      </rPr>
      <t>(Treated to have derived as income an amount equalt o 5% of FMC of Capital Assets having FMV in aggregate above Rs. 25M situated in Pakistan 30th June 2022)</t>
    </r>
    <r>
      <rPr>
        <i/>
        <sz val="12"/>
        <color theme="1"/>
        <rFont val="Times New Roman"/>
        <family val="1"/>
      </rPr>
      <t xml:space="preserve">
</t>
    </r>
    <r>
      <rPr>
        <i/>
        <sz val="12"/>
        <color theme="9" tint="-0.249977111117893"/>
        <rFont val="Times New Roman"/>
        <family val="1"/>
      </rPr>
      <t xml:space="preserve">
(Exclusion: One capital asset owned by resident person, self owned business premises, agricultural land where business/ agricultural activity is conducted by the person, the property income is taxable otherwise under this ordinance or first year of purchase &amp; tax u/s 236K is paid, Capital assets allotted to Ex-Servicemen and serving personal of armed forces or ex-employees or serving personal of Federal and Provincial Government, being original allottees of the capital asset duly certified by the allotment authority.)</t>
    </r>
  </si>
  <si>
    <t>ADD BACKS U/S 21(D) ENTERTAINMENT EXPENDITURE ABOVE PRESCRIBED LIMIT</t>
  </si>
  <si>
    <t xml:space="preserve">ADD BACKS U/S 29(2) PROVISION FOR DOUBTFUL DEBTS </t>
  </si>
  <si>
    <t>Code</t>
  </si>
  <si>
    <t>Same on row 88</t>
  </si>
  <si>
    <t>Same on row 89</t>
  </si>
  <si>
    <t>yes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</si>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</sst>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_(* #,##0.0_);_(* \(#,##0.0\);_(* &quot;-&quot;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i/>
      <sz val="12"/>
      <color theme="9" tint="-0.249977111117893"/>
      <name val="Times New Roman"/>
      <family val="1"/>
    </font>
    <font>
      <b/>
      <i/>
      <sz val="12"/>
      <color theme="9" tint="-0.249977111117893"/>
      <name val="Times New Roman"/>
      <family val="1"/>
    </font>
    <font>
      <b/>
      <sz val="11"/>
      <color rgb="FF222222"/>
      <name val="Times New Roman"/>
      <family val="1"/>
    </font>
    <font>
      <sz val="12"/>
      <color rgb="FF222222"/>
      <name val="Times New Roman"/>
      <family val="1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2"/>
      <color theme="1"/>
      <name val="Times New Roman"/>
      <family val="1"/>
    </font>
    <font>
      <sz val="11"/>
      <color rgb="FFFF0000"/>
      <name val="Aptos Narrow"/>
      <family val="2"/>
      <scheme val="minor"/>
    </font>
    <font>
      <b/>
      <sz val="12"/>
      <color rgb="FF222222"/>
      <name val="Times New Roman"/>
      <family val="1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166" fontId="3" fillId="0" borderId="3" xfId="2" applyNumberFormat="1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166" fontId="0" fillId="0" borderId="4" xfId="2" applyNumberFormat="1" applyFont="1" applyBorder="1" applyAlignment="1">
      <alignment vertical="center"/>
    </xf>
    <xf numFmtId="166" fontId="0" fillId="0" borderId="5" xfId="2" applyNumberFormat="1" applyFont="1" applyBorder="1" applyAlignment="1">
      <alignment vertical="center"/>
    </xf>
    <xf numFmtId="166" fontId="0" fillId="0" borderId="3" xfId="2" applyNumberFormat="1" applyFont="1" applyBorder="1" applyAlignment="1">
      <alignment vertical="center"/>
    </xf>
    <xf numFmtId="166" fontId="0" fillId="0" borderId="4" xfId="2" applyNumberFormat="1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6" fontId="0" fillId="0" borderId="9" xfId="2" applyNumberFormat="1" applyFont="1" applyBorder="1" applyAlignment="1">
      <alignment vertical="center"/>
    </xf>
    <xf numFmtId="166" fontId="10" fillId="3" borderId="15" xfId="2" applyNumberFormat="1" applyFont="1" applyFill="1" applyBorder="1" applyAlignment="1">
      <alignment horizontal="center" vertical="center"/>
    </xf>
    <xf numFmtId="166" fontId="10" fillId="3" borderId="4" xfId="2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66" fontId="0" fillId="0" borderId="0" xfId="0" applyNumberFormat="1" applyAlignment="1">
      <alignment vertical="center"/>
    </xf>
    <xf numFmtId="166" fontId="2" fillId="0" borderId="10" xfId="2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3" fontId="0" fillId="0" borderId="0" xfId="0" applyNumberFormat="1" applyAlignment="1">
      <alignment vertical="center"/>
    </xf>
    <xf numFmtId="0" fontId="9" fillId="4" borderId="0" xfId="0" applyFont="1" applyFill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5" borderId="0" xfId="0" applyFill="1" applyAlignment="1">
      <alignment vertical="center"/>
    </xf>
    <xf numFmtId="0" fontId="2" fillId="5" borderId="1" xfId="0" applyFont="1" applyFill="1" applyBorder="1" applyAlignment="1">
      <alignment vertical="center" wrapText="1"/>
    </xf>
    <xf numFmtId="165" fontId="2" fillId="5" borderId="3" xfId="1" applyNumberFormat="1" applyFont="1" applyFill="1" applyBorder="1" applyAlignment="1">
      <alignment horizontal="center" vertical="center"/>
    </xf>
    <xf numFmtId="166" fontId="10" fillId="5" borderId="4" xfId="2" applyNumberFormat="1" applyFont="1" applyFill="1" applyBorder="1" applyAlignment="1">
      <alignment vertical="center"/>
    </xf>
    <xf numFmtId="166" fontId="10" fillId="5" borderId="3" xfId="2" applyNumberFormat="1" applyFont="1" applyFill="1" applyBorder="1" applyAlignment="1">
      <alignment vertical="center"/>
    </xf>
    <xf numFmtId="166" fontId="0" fillId="5" borderId="3" xfId="2" applyNumberFormat="1" applyFont="1" applyFill="1" applyBorder="1" applyAlignment="1">
      <alignment vertical="center"/>
    </xf>
    <xf numFmtId="166" fontId="10" fillId="5" borderId="12" xfId="2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166" fontId="10" fillId="5" borderId="4" xfId="2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vertical="center" wrapText="1"/>
    </xf>
    <xf numFmtId="166" fontId="0" fillId="5" borderId="4" xfId="2" applyNumberFormat="1" applyFont="1" applyFill="1" applyBorder="1" applyAlignment="1">
      <alignment vertical="center"/>
    </xf>
    <xf numFmtId="0" fontId="2" fillId="5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2" fillId="5" borderId="18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166" fontId="3" fillId="5" borderId="3" xfId="2" applyNumberFormat="1" applyFont="1" applyFill="1" applyBorder="1" applyAlignment="1">
      <alignment vertical="center"/>
    </xf>
    <xf numFmtId="166" fontId="2" fillId="5" borderId="3" xfId="2" applyNumberFormat="1" applyFont="1" applyFill="1" applyBorder="1" applyAlignment="1">
      <alignment vertical="center"/>
    </xf>
    <xf numFmtId="0" fontId="0" fillId="4" borderId="0" xfId="0" applyFill="1"/>
    <xf numFmtId="0" fontId="2" fillId="6" borderId="0" xfId="0" applyFont="1" applyFill="1" applyAlignment="1">
      <alignment horizontal="center" vertical="center" wrapText="1"/>
    </xf>
    <xf numFmtId="9" fontId="10" fillId="6" borderId="17" xfId="3" applyFont="1" applyFill="1" applyBorder="1" applyAlignment="1">
      <alignment horizontal="center" vertical="center"/>
    </xf>
    <xf numFmtId="9" fontId="10" fillId="6" borderId="0" xfId="3" applyFont="1" applyFill="1" applyBorder="1" applyAlignment="1">
      <alignment horizontal="center" vertical="center"/>
    </xf>
    <xf numFmtId="165" fontId="2" fillId="6" borderId="3" xfId="1" applyNumberFormat="1" applyFont="1" applyFill="1" applyBorder="1" applyAlignment="1">
      <alignment horizontal="center" vertical="center" wrapText="1"/>
    </xf>
    <xf numFmtId="166" fontId="10" fillId="6" borderId="4" xfId="2" applyNumberFormat="1" applyFont="1" applyFill="1" applyBorder="1" applyAlignment="1">
      <alignment vertical="center"/>
    </xf>
    <xf numFmtId="166" fontId="10" fillId="6" borderId="3" xfId="2" applyNumberFormat="1" applyFont="1" applyFill="1" applyBorder="1" applyAlignment="1">
      <alignment vertical="center"/>
    </xf>
    <xf numFmtId="166" fontId="0" fillId="6" borderId="4" xfId="2" applyNumberFormat="1" applyFont="1" applyFill="1" applyBorder="1" applyAlignment="1">
      <alignment vertical="center"/>
    </xf>
    <xf numFmtId="166" fontId="0" fillId="6" borderId="3" xfId="2" applyNumberFormat="1" applyFont="1" applyFill="1" applyBorder="1" applyAlignment="1">
      <alignment vertical="center"/>
    </xf>
    <xf numFmtId="166" fontId="0" fillId="6" borderId="10" xfId="2" applyNumberFormat="1" applyFont="1" applyFill="1" applyBorder="1" applyAlignment="1">
      <alignment vertical="center"/>
    </xf>
    <xf numFmtId="166" fontId="0" fillId="6" borderId="11" xfId="2" applyNumberFormat="1" applyFont="1" applyFill="1" applyBorder="1" applyAlignment="1">
      <alignment vertical="center"/>
    </xf>
    <xf numFmtId="166" fontId="10" fillId="6" borderId="13" xfId="2" applyNumberFormat="1" applyFont="1" applyFill="1" applyBorder="1" applyAlignment="1">
      <alignment vertical="center"/>
    </xf>
    <xf numFmtId="166" fontId="10" fillId="6" borderId="14" xfId="2" applyNumberFormat="1" applyFont="1" applyFill="1" applyBorder="1" applyAlignment="1">
      <alignment vertical="center"/>
    </xf>
    <xf numFmtId="166" fontId="0" fillId="6" borderId="5" xfId="2" applyNumberFormat="1" applyFont="1" applyFill="1" applyBorder="1" applyAlignment="1">
      <alignment vertical="center"/>
    </xf>
    <xf numFmtId="0" fontId="0" fillId="6" borderId="0" xfId="0" applyFill="1" applyAlignment="1">
      <alignment vertical="center"/>
    </xf>
    <xf numFmtId="166" fontId="10" fillId="6" borderId="5" xfId="2" applyNumberFormat="1" applyFont="1" applyFill="1" applyBorder="1" applyAlignment="1">
      <alignment vertical="center"/>
    </xf>
    <xf numFmtId="166" fontId="10" fillId="6" borderId="3" xfId="2" applyNumberFormat="1" applyFont="1" applyFill="1" applyBorder="1" applyAlignment="1">
      <alignment horizontal="left" vertical="center"/>
    </xf>
    <xf numFmtId="166" fontId="0" fillId="6" borderId="5" xfId="2" applyNumberFormat="1" applyFont="1" applyFill="1" applyBorder="1" applyAlignment="1">
      <alignment horizontal="left" vertical="center"/>
    </xf>
    <xf numFmtId="166" fontId="0" fillId="6" borderId="3" xfId="2" applyNumberFormat="1" applyFont="1" applyFill="1" applyBorder="1" applyAlignment="1">
      <alignment horizontal="left" vertical="center"/>
    </xf>
    <xf numFmtId="166" fontId="0" fillId="0" borderId="5" xfId="2" applyNumberFormat="1" applyFont="1" applyFill="1" applyBorder="1" applyAlignment="1">
      <alignment vertical="center"/>
    </xf>
    <xf numFmtId="0" fontId="0" fillId="6" borderId="0" xfId="0" applyFill="1"/>
    <xf numFmtId="0" fontId="1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166" fontId="0" fillId="5" borderId="4" xfId="2" applyNumberFormat="1" applyFont="1" applyFill="1" applyBorder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6" borderId="0" xfId="0" applyFont="1" applyFill="1"/>
    <xf numFmtId="0" fontId="15" fillId="5" borderId="0" xfId="0" applyFont="1" applyFill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15" fillId="7" borderId="0" xfId="0" applyFont="1" applyFill="1" applyAlignment="1">
      <alignment vertical="center" wrapText="1"/>
    </xf>
    <xf numFmtId="166" fontId="3" fillId="0" borderId="5" xfId="2" applyNumberFormat="1" applyFont="1" applyFill="1" applyBorder="1" applyAlignment="1" applyProtection="1">
      <alignment vertical="center"/>
      <protection locked="0"/>
    </xf>
    <xf numFmtId="166" fontId="10" fillId="5" borderId="11" xfId="2" applyNumberFormat="1" applyFont="1" applyFill="1" applyBorder="1" applyAlignment="1">
      <alignment vertical="center"/>
    </xf>
    <xf numFmtId="0" fontId="2" fillId="5" borderId="20" xfId="0" applyFont="1" applyFill="1" applyBorder="1" applyAlignment="1">
      <alignment vertical="center" wrapText="1"/>
    </xf>
    <xf numFmtId="166" fontId="10" fillId="5" borderId="22" xfId="0" applyNumberFormat="1" applyFont="1" applyFill="1" applyBorder="1"/>
    <xf numFmtId="0" fontId="3" fillId="5" borderId="23" xfId="0" applyFont="1" applyFill="1" applyBorder="1" applyAlignment="1">
      <alignment vertical="center" wrapText="1"/>
    </xf>
    <xf numFmtId="0" fontId="3" fillId="5" borderId="24" xfId="0" applyFont="1" applyFill="1" applyBorder="1" applyAlignment="1">
      <alignment vertical="center" wrapText="1"/>
    </xf>
    <xf numFmtId="0" fontId="3" fillId="5" borderId="25" xfId="0" applyFont="1" applyFill="1" applyBorder="1" applyAlignment="1">
      <alignment vertical="center" wrapText="1"/>
    </xf>
    <xf numFmtId="166" fontId="2" fillId="0" borderId="27" xfId="2" applyNumberFormat="1" applyFont="1" applyFill="1" applyBorder="1" applyAlignment="1">
      <alignment vertical="center"/>
    </xf>
    <xf numFmtId="0" fontId="3" fillId="5" borderId="2" xfId="0" applyFont="1" applyFill="1" applyBorder="1"/>
    <xf numFmtId="0" fontId="3" fillId="0" borderId="2" xfId="0" applyFont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166" fontId="1" fillId="5" borderId="4" xfId="2" applyNumberFormat="1" applyFont="1" applyFill="1" applyBorder="1" applyAlignment="1">
      <alignment vertical="center"/>
    </xf>
    <xf numFmtId="166" fontId="1" fillId="5" borderId="3" xfId="2" applyNumberFormat="1" applyFont="1" applyFill="1" applyBorder="1" applyAlignment="1">
      <alignment vertical="center"/>
    </xf>
    <xf numFmtId="0" fontId="12" fillId="8" borderId="0" xfId="0" applyFont="1" applyFill="1"/>
    <xf numFmtId="0" fontId="0" fillId="8" borderId="0" xfId="0" applyFill="1"/>
    <xf numFmtId="0" fontId="0" fillId="8" borderId="21" xfId="0" applyFill="1" applyBorder="1"/>
    <xf numFmtId="0" fontId="0" fillId="8" borderId="21" xfId="0" applyFill="1" applyBorder="1" applyAlignment="1">
      <alignment vertical="center"/>
    </xf>
    <xf numFmtId="0" fontId="12" fillId="8" borderId="0" xfId="0" applyFont="1" applyFill="1" applyAlignment="1">
      <alignment vertical="center"/>
    </xf>
    <xf numFmtId="0" fontId="12" fillId="8" borderId="26" xfId="0" applyFont="1" applyFill="1" applyBorder="1"/>
    <xf numFmtId="0" fontId="12" fillId="8" borderId="26" xfId="0" applyFont="1" applyFill="1" applyBorder="1" applyAlignment="1">
      <alignment vertical="center"/>
    </xf>
    <xf numFmtId="0" fontId="10" fillId="4" borderId="0" xfId="0" applyFont="1" applyFill="1" applyAlignment="1">
      <alignment horizontal="center"/>
    </xf>
    <xf numFmtId="0" fontId="10" fillId="4" borderId="26" xfId="0" applyFont="1" applyFill="1" applyBorder="1" applyAlignment="1">
      <alignment horizontal="center"/>
    </xf>
    <xf numFmtId="0" fontId="0" fillId="9" borderId="0" xfId="0" applyFill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0" fillId="9" borderId="0" xfId="0" applyFill="1" applyAlignment="1">
      <alignment wrapText="1"/>
    </xf>
    <xf numFmtId="0" fontId="0" fillId="9" borderId="0" xfId="0" applyFill="1"/>
    <xf numFmtId="0" fontId="0" fillId="9" borderId="21" xfId="0" applyFill="1" applyBorder="1"/>
    <xf numFmtId="167" fontId="0" fillId="0" borderId="0" xfId="0" applyNumberFormat="1" applyAlignment="1">
      <alignment vertical="center"/>
    </xf>
    <xf numFmtId="166" fontId="10" fillId="7" borderId="0" xfId="2" applyNumberFormat="1" applyFont="1" applyFill="1" applyBorder="1" applyAlignment="1">
      <alignment horizontal="center" vertical="center"/>
    </xf>
    <xf numFmtId="166" fontId="10" fillId="7" borderId="19" xfId="2" applyNumberFormat="1" applyFont="1" applyFill="1" applyBorder="1" applyAlignment="1">
      <alignment horizontal="center" vertical="center"/>
    </xf>
  </cellXfs>
  <cellStyles count="4">
    <cellStyle name="Comma" xfId="2" builtinId="3"/>
    <cellStyle name="Comma 12 2" xfId="1" xr:uid="{9350EBF6-35C2-4B4E-A777-342551F25225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D602-F284-4CFD-AF7F-223A1A77F5B0}">
  <dimension ref="A1:G160"/>
  <sheetViews>
    <sheetView showGridLines="0" tabSelected="1" topLeftCell="A107" zoomScale="98" zoomScaleNormal="70" zoomScaleSheetLayoutView="90" zoomScalePageLayoutView="48" workbookViewId="0">
      <selection activeCell="E124" sqref="E124"/>
    </sheetView>
  </sheetViews>
  <sheetFormatPr defaultRowHeight="15.05" x14ac:dyDescent="0.3"/>
  <cols>
    <col min="1" max="1" width="97.33203125" style="7" customWidth="1"/>
    <col min="2" max="2" width="15.21875" style="15" customWidth="1"/>
    <col min="3" max="3" width="22.21875" style="8" bestFit="1" customWidth="1"/>
    <col min="4" max="4" width="39.21875" style="8" customWidth="1"/>
    <col min="5" max="5" width="22.88671875" style="8" customWidth="1"/>
    <col min="6" max="6" width="12.6640625" style="8" bestFit="1" customWidth="1"/>
    <col min="7" max="7" width="11.5546875" style="8" bestFit="1" customWidth="1"/>
    <col min="8" max="16384" width="8.88671875" style="8"/>
  </cols>
  <sheetData>
    <row r="1" spans="1:6" thickBot="1" x14ac:dyDescent="0.35">
      <c r="B1" s="98"/>
    </row>
    <row r="2" spans="1:6" ht="31.95" thickBot="1" x14ac:dyDescent="0.35">
      <c r="A2" s="20" t="s">
        <v>118</v>
      </c>
      <c r="B2" s="2" t="s">
        <v>138</v>
      </c>
      <c r="C2" s="29" t="s">
        <v>0</v>
      </c>
      <c r="D2" s="49" t="s">
        <v>1</v>
      </c>
      <c r="E2" s="49" t="s">
        <v>2</v>
      </c>
    </row>
    <row r="3" spans="1:6" ht="16.3" thickBot="1" x14ac:dyDescent="0.35">
      <c r="A3" s="21" t="s">
        <v>4</v>
      </c>
      <c r="B3" s="16">
        <v>3009</v>
      </c>
      <c r="C3" s="30">
        <f>SUM(C4:C5)</f>
        <v>6000000</v>
      </c>
      <c r="D3" s="50">
        <f>SUM(D4:D5)</f>
        <v>1000000</v>
      </c>
      <c r="E3" s="51">
        <f>SUM(E4:E5)</f>
        <v>5000000</v>
      </c>
    </row>
    <row r="4" spans="1:6" ht="16.3" thickBot="1" x14ac:dyDescent="0.35">
      <c r="A4" s="22" t="s">
        <v>5</v>
      </c>
      <c r="B4" s="16">
        <v>3004</v>
      </c>
      <c r="C4" s="3">
        <v>5000000</v>
      </c>
      <c r="D4" s="52">
        <v>0</v>
      </c>
      <c r="E4" s="53">
        <f>+C4-D4</f>
        <v>5000000</v>
      </c>
      <c r="F4" s="3"/>
    </row>
    <row r="5" spans="1:6" ht="15.65" x14ac:dyDescent="0.3">
      <c r="A5" s="23" t="s">
        <v>6</v>
      </c>
      <c r="B5" s="16">
        <v>3008</v>
      </c>
      <c r="C5" s="9">
        <v>1000000</v>
      </c>
      <c r="D5" s="54">
        <f>IF(D6="Yes",C5,0)</f>
        <v>1000000</v>
      </c>
      <c r="E5" s="55">
        <f>+C5-D5</f>
        <v>0</v>
      </c>
    </row>
    <row r="6" spans="1:6" ht="15.65" x14ac:dyDescent="0.3">
      <c r="A6" s="24" t="s">
        <v>119</v>
      </c>
      <c r="B6" s="99"/>
      <c r="C6" s="10"/>
      <c r="D6" s="10" t="s">
        <v>141</v>
      </c>
      <c r="E6" s="11"/>
    </row>
    <row r="7" spans="1:6" ht="15.65" x14ac:dyDescent="0.3">
      <c r="A7" s="46" t="s">
        <v>120</v>
      </c>
      <c r="B7" s="100"/>
      <c r="C7" s="47">
        <v>1</v>
      </c>
      <c r="D7" s="47">
        <f>+C5/C3</f>
        <v>0.16666666666666666</v>
      </c>
      <c r="E7" s="48">
        <f>+C7-D7</f>
        <v>0.83333333333333337</v>
      </c>
    </row>
    <row r="8" spans="1:6" ht="16.3" thickBot="1" x14ac:dyDescent="0.35">
      <c r="A8" s="25" t="s">
        <v>7</v>
      </c>
      <c r="B8" s="16">
        <v>3019</v>
      </c>
      <c r="C8" s="33">
        <f>SUM(C9:C11)</f>
        <v>3000000</v>
      </c>
      <c r="D8" s="56">
        <f>SUM(D9:D11)</f>
        <v>1166666.6666666667</v>
      </c>
      <c r="E8" s="57">
        <f>SUM(E9:E11)</f>
        <v>1833333.3333333335</v>
      </c>
    </row>
    <row r="9" spans="1:6" ht="16.3" thickBot="1" x14ac:dyDescent="0.35">
      <c r="A9" s="26" t="s">
        <v>8</v>
      </c>
      <c r="B9" s="16">
        <v>3011</v>
      </c>
      <c r="C9" s="3">
        <v>1000000</v>
      </c>
      <c r="D9" s="58">
        <v>0</v>
      </c>
      <c r="E9" s="53">
        <f>+C9-D9</f>
        <v>1000000</v>
      </c>
    </row>
    <row r="10" spans="1:6" ht="16.3" thickBot="1" x14ac:dyDescent="0.35">
      <c r="A10" s="26" t="s">
        <v>9</v>
      </c>
      <c r="B10" s="16">
        <v>3012</v>
      </c>
      <c r="C10" s="3">
        <v>1000000</v>
      </c>
      <c r="D10" s="58">
        <f>+C10</f>
        <v>1000000</v>
      </c>
      <c r="E10" s="53">
        <f>+C10-D10</f>
        <v>0</v>
      </c>
    </row>
    <row r="11" spans="1:6" ht="16.3" thickBot="1" x14ac:dyDescent="0.35">
      <c r="A11" s="26" t="s">
        <v>10</v>
      </c>
      <c r="B11" s="16">
        <v>3070</v>
      </c>
      <c r="C11" s="3">
        <v>1000000</v>
      </c>
      <c r="D11" s="58">
        <f>+C11*D7</f>
        <v>166666.66666666666</v>
      </c>
      <c r="E11" s="53">
        <f>+C11-D11</f>
        <v>833333.33333333337</v>
      </c>
    </row>
    <row r="12" spans="1:6" thickBot="1" x14ac:dyDescent="0.35">
      <c r="A12" s="27"/>
      <c r="B12" s="98"/>
    </row>
    <row r="13" spans="1:6" ht="31.95" thickBot="1" x14ac:dyDescent="0.35">
      <c r="A13" s="21" t="s">
        <v>3</v>
      </c>
      <c r="B13" s="16">
        <v>3029</v>
      </c>
      <c r="C13" s="30">
        <f>C3-C8</f>
        <v>3000000</v>
      </c>
      <c r="D13" s="51">
        <f>+D3-D8</f>
        <v>-166666.66666666674</v>
      </c>
      <c r="E13" s="51">
        <f>+E3-E8</f>
        <v>3166666.6666666665</v>
      </c>
    </row>
    <row r="14" spans="1:6" thickBot="1" x14ac:dyDescent="0.35">
      <c r="A14" s="27"/>
      <c r="B14" s="98"/>
      <c r="D14" s="59"/>
      <c r="E14" s="59"/>
    </row>
    <row r="15" spans="1:6" ht="16.3" thickBot="1" x14ac:dyDescent="0.35">
      <c r="A15" s="28" t="s">
        <v>11</v>
      </c>
      <c r="B15" s="16">
        <v>3030</v>
      </c>
      <c r="C15" s="30">
        <f>SUM(C17:C25)</f>
        <v>13500000</v>
      </c>
      <c r="D15" s="60">
        <f>SUM(D17:D25)</f>
        <v>2250000</v>
      </c>
      <c r="E15" s="51">
        <f>SUM(E16:E25)</f>
        <v>11250000</v>
      </c>
    </row>
    <row r="16" spans="1:6" ht="16.3" thickBot="1" x14ac:dyDescent="0.35">
      <c r="A16" s="28" t="s">
        <v>12</v>
      </c>
      <c r="B16" s="17">
        <v>3089</v>
      </c>
      <c r="C16" s="3"/>
      <c r="D16" s="58"/>
      <c r="E16" s="53"/>
    </row>
    <row r="17" spans="1:7" ht="16.3" thickBot="1" x14ac:dyDescent="0.35">
      <c r="A17" s="26" t="s">
        <v>13</v>
      </c>
      <c r="B17" s="17">
        <v>3071</v>
      </c>
      <c r="C17" s="3">
        <v>1500000</v>
      </c>
      <c r="D17" s="58">
        <f t="shared" ref="D17:D25" si="0">+C17*$D$7</f>
        <v>250000</v>
      </c>
      <c r="E17" s="53">
        <f t="shared" ref="E17:E25" si="1">+C17-D17</f>
        <v>1250000</v>
      </c>
    </row>
    <row r="18" spans="1:7" ht="16.3" thickBot="1" x14ac:dyDescent="0.35">
      <c r="A18" s="26" t="s">
        <v>14</v>
      </c>
      <c r="B18" s="17">
        <v>3073</v>
      </c>
      <c r="C18" s="3">
        <v>1500000</v>
      </c>
      <c r="D18" s="58">
        <f t="shared" si="0"/>
        <v>250000</v>
      </c>
      <c r="E18" s="53">
        <f t="shared" si="1"/>
        <v>1250000</v>
      </c>
    </row>
    <row r="19" spans="1:7" ht="16.3" thickBot="1" x14ac:dyDescent="0.35">
      <c r="A19" s="26" t="s">
        <v>15</v>
      </c>
      <c r="B19" s="17">
        <v>3074</v>
      </c>
      <c r="C19" s="3">
        <v>1500000</v>
      </c>
      <c r="D19" s="58">
        <f t="shared" si="0"/>
        <v>250000</v>
      </c>
      <c r="E19" s="53">
        <f t="shared" si="1"/>
        <v>1250000</v>
      </c>
    </row>
    <row r="20" spans="1:7" ht="16.3" thickBot="1" x14ac:dyDescent="0.35">
      <c r="A20" s="26" t="s">
        <v>16</v>
      </c>
      <c r="B20" s="17">
        <v>3077</v>
      </c>
      <c r="C20" s="3">
        <v>1500000</v>
      </c>
      <c r="D20" s="58">
        <f t="shared" si="0"/>
        <v>250000</v>
      </c>
      <c r="E20" s="53">
        <f t="shared" si="1"/>
        <v>1250000</v>
      </c>
    </row>
    <row r="21" spans="1:7" ht="16.3" thickBot="1" x14ac:dyDescent="0.35">
      <c r="A21" s="26" t="s">
        <v>17</v>
      </c>
      <c r="B21" s="17">
        <v>3080</v>
      </c>
      <c r="C21" s="3">
        <v>1500000</v>
      </c>
      <c r="D21" s="58">
        <f t="shared" si="0"/>
        <v>250000</v>
      </c>
      <c r="E21" s="53">
        <f t="shared" si="1"/>
        <v>1250000</v>
      </c>
    </row>
    <row r="22" spans="1:7" ht="16.3" thickBot="1" x14ac:dyDescent="0.35">
      <c r="A22" s="26" t="s">
        <v>18</v>
      </c>
      <c r="B22" s="17">
        <v>3081</v>
      </c>
      <c r="C22" s="3">
        <v>1500000</v>
      </c>
      <c r="D22" s="58">
        <f t="shared" si="0"/>
        <v>250000</v>
      </c>
      <c r="E22" s="53">
        <f t="shared" si="1"/>
        <v>1250000</v>
      </c>
    </row>
    <row r="23" spans="1:7" ht="16.3" thickBot="1" x14ac:dyDescent="0.35">
      <c r="A23" s="26" t="s">
        <v>19</v>
      </c>
      <c r="B23" s="17">
        <v>3083</v>
      </c>
      <c r="C23" s="3">
        <v>1500000</v>
      </c>
      <c r="D23" s="58">
        <f t="shared" si="0"/>
        <v>250000</v>
      </c>
      <c r="E23" s="53">
        <f t="shared" si="1"/>
        <v>1250000</v>
      </c>
    </row>
    <row r="24" spans="1:7" ht="16.3" thickBot="1" x14ac:dyDescent="0.35">
      <c r="A24" s="26" t="s">
        <v>20</v>
      </c>
      <c r="B24" s="17">
        <v>3087</v>
      </c>
      <c r="C24" s="3">
        <v>1500000</v>
      </c>
      <c r="D24" s="58">
        <f t="shared" si="0"/>
        <v>250000</v>
      </c>
      <c r="E24" s="53">
        <f t="shared" si="1"/>
        <v>1250000</v>
      </c>
    </row>
    <row r="25" spans="1:7" ht="16.3" thickBot="1" x14ac:dyDescent="0.35">
      <c r="A25" s="26" t="s">
        <v>21</v>
      </c>
      <c r="B25" s="17">
        <v>3088</v>
      </c>
      <c r="C25" s="3">
        <v>1500000</v>
      </c>
      <c r="D25" s="58">
        <f t="shared" si="0"/>
        <v>250000</v>
      </c>
      <c r="E25" s="53">
        <f t="shared" si="1"/>
        <v>1250000</v>
      </c>
    </row>
    <row r="26" spans="1:7" ht="16.3" thickBot="1" x14ac:dyDescent="0.35">
      <c r="A26" s="28" t="s">
        <v>22</v>
      </c>
      <c r="B26" s="17">
        <v>3100</v>
      </c>
      <c r="C26" s="30">
        <f>+C13-C15</f>
        <v>-10500000</v>
      </c>
      <c r="D26" s="51">
        <f>+D13-D15</f>
        <v>-2416666.666666667</v>
      </c>
      <c r="E26" s="51">
        <f>+E13-E15</f>
        <v>-8083333.333333334</v>
      </c>
    </row>
    <row r="27" spans="1:7" ht="15.65" thickBot="1" x14ac:dyDescent="0.35">
      <c r="A27" s="8"/>
      <c r="B27" s="98"/>
    </row>
    <row r="28" spans="1:7" ht="16.3" thickBot="1" x14ac:dyDescent="0.35">
      <c r="A28" s="21" t="s">
        <v>23</v>
      </c>
      <c r="B28" s="17">
        <v>3199</v>
      </c>
      <c r="C28" s="30">
        <f>SUM(C29:C54)</f>
        <v>39000000</v>
      </c>
      <c r="D28" s="51">
        <f>SUM(D29:D54)</f>
        <v>6500000</v>
      </c>
      <c r="E28" s="51">
        <f>SUM(E29:E54)</f>
        <v>32500000</v>
      </c>
    </row>
    <row r="29" spans="1:7" ht="16.3" thickBot="1" x14ac:dyDescent="0.35">
      <c r="A29" s="22" t="s">
        <v>24</v>
      </c>
      <c r="B29" s="17">
        <v>3151</v>
      </c>
      <c r="C29" s="3">
        <v>1500000</v>
      </c>
      <c r="D29" s="58">
        <f>+C29*$D$7</f>
        <v>250000</v>
      </c>
      <c r="E29" s="53">
        <f>+C29-D29</f>
        <v>1250000</v>
      </c>
      <c r="F29" s="18"/>
      <c r="G29" s="13"/>
    </row>
    <row r="30" spans="1:7" ht="16.3" thickBot="1" x14ac:dyDescent="0.35">
      <c r="A30" s="22" t="s">
        <v>25</v>
      </c>
      <c r="B30" s="17">
        <v>3152</v>
      </c>
      <c r="C30" s="3">
        <v>1500000</v>
      </c>
      <c r="D30" s="58">
        <f t="shared" ref="D30:D54" si="2">+C30*$D$7</f>
        <v>250000</v>
      </c>
      <c r="E30" s="53">
        <f t="shared" ref="E30:E54" si="3">+C30-D30</f>
        <v>1250000</v>
      </c>
      <c r="F30" s="13"/>
    </row>
    <row r="31" spans="1:7" ht="16.3" thickBot="1" x14ac:dyDescent="0.35">
      <c r="A31" s="22" t="s">
        <v>26</v>
      </c>
      <c r="B31" s="17">
        <v>3154</v>
      </c>
      <c r="C31" s="3">
        <v>1500000</v>
      </c>
      <c r="D31" s="58">
        <f t="shared" si="2"/>
        <v>250000</v>
      </c>
      <c r="E31" s="53">
        <f t="shared" si="3"/>
        <v>1250000</v>
      </c>
    </row>
    <row r="32" spans="1:7" ht="16.3" thickBot="1" x14ac:dyDescent="0.35">
      <c r="A32" s="22" t="s">
        <v>27</v>
      </c>
      <c r="B32" s="17">
        <v>3155</v>
      </c>
      <c r="C32" s="3">
        <v>1500000</v>
      </c>
      <c r="D32" s="58">
        <f t="shared" si="2"/>
        <v>250000</v>
      </c>
      <c r="E32" s="53">
        <f t="shared" si="3"/>
        <v>1250000</v>
      </c>
    </row>
    <row r="33" spans="1:5" ht="16.3" thickBot="1" x14ac:dyDescent="0.35">
      <c r="A33" s="22" t="s">
        <v>28</v>
      </c>
      <c r="B33" s="17">
        <v>3158</v>
      </c>
      <c r="C33" s="3">
        <v>1500000</v>
      </c>
      <c r="D33" s="58">
        <f t="shared" si="2"/>
        <v>250000</v>
      </c>
      <c r="E33" s="53">
        <f t="shared" si="3"/>
        <v>1250000</v>
      </c>
    </row>
    <row r="34" spans="1:5" ht="16.3" thickBot="1" x14ac:dyDescent="0.35">
      <c r="A34" s="22" t="s">
        <v>29</v>
      </c>
      <c r="B34" s="17">
        <v>3162</v>
      </c>
      <c r="C34" s="3">
        <v>1500000</v>
      </c>
      <c r="D34" s="58">
        <f t="shared" si="2"/>
        <v>250000</v>
      </c>
      <c r="E34" s="53">
        <f t="shared" si="3"/>
        <v>1250000</v>
      </c>
    </row>
    <row r="35" spans="1:5" ht="16.3" thickBot="1" x14ac:dyDescent="0.35">
      <c r="A35" s="22" t="s">
        <v>30</v>
      </c>
      <c r="B35" s="17">
        <v>3165</v>
      </c>
      <c r="C35" s="3">
        <v>1500000</v>
      </c>
      <c r="D35" s="58">
        <f t="shared" si="2"/>
        <v>250000</v>
      </c>
      <c r="E35" s="53">
        <f t="shared" si="3"/>
        <v>1250000</v>
      </c>
    </row>
    <row r="36" spans="1:5" ht="16.3" thickBot="1" x14ac:dyDescent="0.35">
      <c r="A36" s="22" t="s">
        <v>31</v>
      </c>
      <c r="B36" s="17">
        <v>3166</v>
      </c>
      <c r="C36" s="3">
        <v>1500000</v>
      </c>
      <c r="D36" s="58">
        <f t="shared" si="2"/>
        <v>250000</v>
      </c>
      <c r="E36" s="53">
        <f t="shared" si="3"/>
        <v>1250000</v>
      </c>
    </row>
    <row r="37" spans="1:5" ht="16.3" thickBot="1" x14ac:dyDescent="0.35">
      <c r="A37" s="22" t="s">
        <v>32</v>
      </c>
      <c r="B37" s="17">
        <v>3168</v>
      </c>
      <c r="C37" s="3">
        <v>1500000</v>
      </c>
      <c r="D37" s="58">
        <f t="shared" si="2"/>
        <v>250000</v>
      </c>
      <c r="E37" s="53">
        <f t="shared" si="3"/>
        <v>1250000</v>
      </c>
    </row>
    <row r="38" spans="1:5" ht="16.3" thickBot="1" x14ac:dyDescent="0.35">
      <c r="A38" s="22" t="s">
        <v>17</v>
      </c>
      <c r="B38" s="17">
        <v>3170</v>
      </c>
      <c r="C38" s="3">
        <v>1500000</v>
      </c>
      <c r="D38" s="58">
        <f t="shared" si="2"/>
        <v>250000</v>
      </c>
      <c r="E38" s="53">
        <f t="shared" si="3"/>
        <v>1250000</v>
      </c>
    </row>
    <row r="39" spans="1:5" ht="16.3" thickBot="1" x14ac:dyDescent="0.35">
      <c r="A39" s="22" t="s">
        <v>33</v>
      </c>
      <c r="B39" s="17">
        <v>3171</v>
      </c>
      <c r="C39" s="3">
        <v>1500000</v>
      </c>
      <c r="D39" s="58">
        <f t="shared" si="2"/>
        <v>250000</v>
      </c>
      <c r="E39" s="53">
        <f t="shared" si="3"/>
        <v>1250000</v>
      </c>
    </row>
    <row r="40" spans="1:5" ht="16.3" thickBot="1" x14ac:dyDescent="0.35">
      <c r="A40" s="22" t="s">
        <v>34</v>
      </c>
      <c r="B40" s="17">
        <v>3172</v>
      </c>
      <c r="C40" s="3">
        <v>1500000</v>
      </c>
      <c r="D40" s="58">
        <f t="shared" si="2"/>
        <v>250000</v>
      </c>
      <c r="E40" s="53">
        <f t="shared" si="3"/>
        <v>1250000</v>
      </c>
    </row>
    <row r="41" spans="1:5" ht="16.3" thickBot="1" x14ac:dyDescent="0.35">
      <c r="A41" s="22" t="s">
        <v>35</v>
      </c>
      <c r="B41" s="17">
        <v>3174</v>
      </c>
      <c r="C41" s="3">
        <v>1500000</v>
      </c>
      <c r="D41" s="58">
        <f t="shared" si="2"/>
        <v>250000</v>
      </c>
      <c r="E41" s="53">
        <f t="shared" si="3"/>
        <v>1250000</v>
      </c>
    </row>
    <row r="42" spans="1:5" ht="16.3" thickBot="1" x14ac:dyDescent="0.35">
      <c r="A42" s="22" t="s">
        <v>36</v>
      </c>
      <c r="B42" s="17">
        <v>3178</v>
      </c>
      <c r="C42" s="3">
        <v>1500000</v>
      </c>
      <c r="D42" s="58">
        <f t="shared" si="2"/>
        <v>250000</v>
      </c>
      <c r="E42" s="53">
        <f t="shared" si="3"/>
        <v>1250000</v>
      </c>
    </row>
    <row r="43" spans="1:5" ht="16.3" thickBot="1" x14ac:dyDescent="0.35">
      <c r="A43" s="22" t="s">
        <v>37</v>
      </c>
      <c r="B43" s="17">
        <v>3180</v>
      </c>
      <c r="C43" s="3">
        <v>1500000</v>
      </c>
      <c r="D43" s="58">
        <f t="shared" si="2"/>
        <v>250000</v>
      </c>
      <c r="E43" s="53">
        <f t="shared" si="3"/>
        <v>1250000</v>
      </c>
    </row>
    <row r="44" spans="1:5" ht="16.3" thickBot="1" x14ac:dyDescent="0.35">
      <c r="A44" s="22" t="s">
        <v>38</v>
      </c>
      <c r="B44" s="17">
        <v>3183</v>
      </c>
      <c r="C44" s="3">
        <v>1500000</v>
      </c>
      <c r="D44" s="58">
        <f t="shared" si="2"/>
        <v>250000</v>
      </c>
      <c r="E44" s="53">
        <f t="shared" si="3"/>
        <v>1250000</v>
      </c>
    </row>
    <row r="45" spans="1:5" ht="16.3" thickBot="1" x14ac:dyDescent="0.35">
      <c r="A45" s="22" t="s">
        <v>39</v>
      </c>
      <c r="B45" s="17">
        <v>3185</v>
      </c>
      <c r="C45" s="3">
        <v>1500000</v>
      </c>
      <c r="D45" s="58">
        <f t="shared" si="2"/>
        <v>250000</v>
      </c>
      <c r="E45" s="53">
        <f t="shared" si="3"/>
        <v>1250000</v>
      </c>
    </row>
    <row r="46" spans="1:5" ht="16.3" thickBot="1" x14ac:dyDescent="0.35">
      <c r="A46" s="22" t="s">
        <v>40</v>
      </c>
      <c r="B46" s="17">
        <v>3191</v>
      </c>
      <c r="C46" s="3">
        <v>1500000</v>
      </c>
      <c r="D46" s="58">
        <f t="shared" si="2"/>
        <v>250000</v>
      </c>
      <c r="E46" s="53">
        <f t="shared" si="3"/>
        <v>1250000</v>
      </c>
    </row>
    <row r="47" spans="1:5" ht="16.3" thickBot="1" x14ac:dyDescent="0.35">
      <c r="A47" s="22" t="s">
        <v>41</v>
      </c>
      <c r="B47" s="17">
        <v>3192</v>
      </c>
      <c r="C47" s="3">
        <v>1500000</v>
      </c>
      <c r="D47" s="58">
        <f t="shared" si="2"/>
        <v>250000</v>
      </c>
      <c r="E47" s="53">
        <f t="shared" si="3"/>
        <v>1250000</v>
      </c>
    </row>
    <row r="48" spans="1:5" ht="16.3" thickBot="1" x14ac:dyDescent="0.35">
      <c r="A48" s="22" t="s">
        <v>42</v>
      </c>
      <c r="B48" s="17">
        <v>3193</v>
      </c>
      <c r="C48" s="3">
        <v>1500000</v>
      </c>
      <c r="D48" s="58">
        <f t="shared" si="2"/>
        <v>250000</v>
      </c>
      <c r="E48" s="53">
        <f t="shared" si="3"/>
        <v>1250000</v>
      </c>
    </row>
    <row r="49" spans="1:5" ht="16.3" thickBot="1" x14ac:dyDescent="0.35">
      <c r="A49" s="22" t="s">
        <v>43</v>
      </c>
      <c r="B49" s="17">
        <v>3186</v>
      </c>
      <c r="C49" s="3">
        <v>1500000</v>
      </c>
      <c r="D49" s="58">
        <f t="shared" si="2"/>
        <v>250000</v>
      </c>
      <c r="E49" s="53">
        <f t="shared" si="3"/>
        <v>1250000</v>
      </c>
    </row>
    <row r="50" spans="1:5" ht="16.3" thickBot="1" x14ac:dyDescent="0.35">
      <c r="A50" s="22" t="s">
        <v>44</v>
      </c>
      <c r="B50" s="17">
        <v>3187</v>
      </c>
      <c r="C50" s="3">
        <v>1500000</v>
      </c>
      <c r="D50" s="58">
        <f t="shared" si="2"/>
        <v>250000</v>
      </c>
      <c r="E50" s="53">
        <f t="shared" si="3"/>
        <v>1250000</v>
      </c>
    </row>
    <row r="51" spans="1:5" ht="16.3" thickBot="1" x14ac:dyDescent="0.35">
      <c r="A51" s="22" t="s">
        <v>45</v>
      </c>
      <c r="B51" s="17">
        <v>3195</v>
      </c>
      <c r="C51" s="3">
        <v>1500000</v>
      </c>
      <c r="D51" s="58">
        <f t="shared" si="2"/>
        <v>250000</v>
      </c>
      <c r="E51" s="53">
        <f t="shared" si="3"/>
        <v>1250000</v>
      </c>
    </row>
    <row r="52" spans="1:5" ht="16.3" thickBot="1" x14ac:dyDescent="0.35">
      <c r="A52" s="22" t="s">
        <v>46</v>
      </c>
      <c r="B52" s="17">
        <v>3196</v>
      </c>
      <c r="C52" s="3">
        <v>1500000</v>
      </c>
      <c r="D52" s="58">
        <f t="shared" si="2"/>
        <v>250000</v>
      </c>
      <c r="E52" s="53">
        <f t="shared" si="3"/>
        <v>1250000</v>
      </c>
    </row>
    <row r="53" spans="1:5" ht="16.3" thickBot="1" x14ac:dyDescent="0.35">
      <c r="A53" s="22" t="s">
        <v>47</v>
      </c>
      <c r="B53" s="17">
        <v>3197</v>
      </c>
      <c r="C53" s="3">
        <v>1500000</v>
      </c>
      <c r="D53" s="58">
        <f t="shared" si="2"/>
        <v>250000</v>
      </c>
      <c r="E53" s="53">
        <f t="shared" si="3"/>
        <v>1250000</v>
      </c>
    </row>
    <row r="54" spans="1:5" ht="16.3" thickBot="1" x14ac:dyDescent="0.35">
      <c r="A54" s="22" t="s">
        <v>21</v>
      </c>
      <c r="B54" s="17">
        <v>3198</v>
      </c>
      <c r="C54" s="3">
        <v>1500000</v>
      </c>
      <c r="D54" s="58">
        <f t="shared" si="2"/>
        <v>250000</v>
      </c>
      <c r="E54" s="53">
        <f t="shared" si="3"/>
        <v>1250000</v>
      </c>
    </row>
    <row r="55" spans="1:5" ht="15.65" thickBot="1" x14ac:dyDescent="0.35">
      <c r="A55" s="8"/>
      <c r="B55" s="98"/>
    </row>
    <row r="56" spans="1:5" ht="16.3" thickBot="1" x14ac:dyDescent="0.35">
      <c r="A56" s="34" t="s">
        <v>48</v>
      </c>
      <c r="B56" s="17">
        <v>3129</v>
      </c>
      <c r="C56" s="30">
        <f>SUM(C57:C65)</f>
        <v>12000000</v>
      </c>
      <c r="D56" s="51">
        <f>SUM(D57:D65)</f>
        <v>2000000</v>
      </c>
      <c r="E56" s="51">
        <f>SUM(E57:E65)</f>
        <v>10000000</v>
      </c>
    </row>
    <row r="57" spans="1:5" ht="16.3" thickBot="1" x14ac:dyDescent="0.35">
      <c r="A57" s="22" t="s">
        <v>49</v>
      </c>
      <c r="B57" s="17" t="s">
        <v>142</v>
      </c>
      <c r="C57" s="3"/>
      <c r="D57" s="58">
        <f>+C57*$D$7</f>
        <v>0</v>
      </c>
      <c r="E57" s="53">
        <f>+C57-D57</f>
        <v>0</v>
      </c>
    </row>
    <row r="58" spans="1:5" ht="16.3" thickBot="1" x14ac:dyDescent="0.35">
      <c r="A58" s="35" t="s">
        <v>50</v>
      </c>
      <c r="B58" s="17">
        <v>3101</v>
      </c>
      <c r="C58" s="3">
        <v>1500000</v>
      </c>
      <c r="D58" s="58">
        <f t="shared" ref="D58:D64" si="4">+C58*$D$7</f>
        <v>250000</v>
      </c>
      <c r="E58" s="53">
        <f t="shared" ref="E58:E65" si="5">+C58-D58</f>
        <v>1250000</v>
      </c>
    </row>
    <row r="59" spans="1:5" ht="16.3" thickBot="1" x14ac:dyDescent="0.35">
      <c r="A59" s="35" t="s">
        <v>51</v>
      </c>
      <c r="B59" s="17">
        <v>3102</v>
      </c>
      <c r="C59" s="3">
        <v>1500000</v>
      </c>
      <c r="D59" s="58">
        <f t="shared" si="4"/>
        <v>250000</v>
      </c>
      <c r="E59" s="53">
        <f t="shared" si="5"/>
        <v>1250000</v>
      </c>
    </row>
    <row r="60" spans="1:5" ht="16.3" thickBot="1" x14ac:dyDescent="0.35">
      <c r="A60" s="35" t="s">
        <v>52</v>
      </c>
      <c r="B60" s="17">
        <v>3106</v>
      </c>
      <c r="C60" s="3">
        <v>1500000</v>
      </c>
      <c r="D60" s="58">
        <f t="shared" si="4"/>
        <v>250000</v>
      </c>
      <c r="E60" s="53">
        <f t="shared" si="5"/>
        <v>1250000</v>
      </c>
    </row>
    <row r="61" spans="1:5" ht="16.3" thickBot="1" x14ac:dyDescent="0.35">
      <c r="A61" s="35" t="s">
        <v>18</v>
      </c>
      <c r="B61" s="17">
        <v>3107</v>
      </c>
      <c r="C61" s="3">
        <v>1500000</v>
      </c>
      <c r="D61" s="58">
        <f t="shared" si="4"/>
        <v>250000</v>
      </c>
      <c r="E61" s="53">
        <f t="shared" si="5"/>
        <v>1250000</v>
      </c>
    </row>
    <row r="62" spans="1:5" ht="16.3" thickBot="1" x14ac:dyDescent="0.35">
      <c r="A62" s="35" t="s">
        <v>53</v>
      </c>
      <c r="B62" s="17">
        <v>3108</v>
      </c>
      <c r="C62" s="3">
        <v>1500000</v>
      </c>
      <c r="D62" s="58">
        <f>+C62*$D$7</f>
        <v>250000</v>
      </c>
      <c r="E62" s="53">
        <f t="shared" si="5"/>
        <v>1250000</v>
      </c>
    </row>
    <row r="63" spans="1:5" ht="16.3" thickBot="1" x14ac:dyDescent="0.35">
      <c r="A63" s="35" t="s">
        <v>54</v>
      </c>
      <c r="B63" s="17">
        <v>3115</v>
      </c>
      <c r="C63" s="3">
        <v>1500000</v>
      </c>
      <c r="D63" s="58">
        <f t="shared" si="4"/>
        <v>250000</v>
      </c>
      <c r="E63" s="53">
        <f t="shared" si="5"/>
        <v>1250000</v>
      </c>
    </row>
    <row r="64" spans="1:5" ht="16.3" thickBot="1" x14ac:dyDescent="0.35">
      <c r="A64" s="35" t="s">
        <v>55</v>
      </c>
      <c r="B64" s="17">
        <v>3116</v>
      </c>
      <c r="C64" s="3">
        <v>1500000</v>
      </c>
      <c r="D64" s="58">
        <f t="shared" si="4"/>
        <v>250000</v>
      </c>
      <c r="E64" s="53">
        <f t="shared" si="5"/>
        <v>1250000</v>
      </c>
    </row>
    <row r="65" spans="1:5" ht="16.3" thickBot="1" x14ac:dyDescent="0.35">
      <c r="A65" s="35" t="s">
        <v>56</v>
      </c>
      <c r="B65" s="17">
        <v>3128</v>
      </c>
      <c r="C65" s="3">
        <v>1500000</v>
      </c>
      <c r="D65" s="58">
        <f>+C65*$D$7</f>
        <v>250000</v>
      </c>
      <c r="E65" s="53">
        <f t="shared" si="5"/>
        <v>1250000</v>
      </c>
    </row>
    <row r="66" spans="1:5" ht="16.3" thickBot="1" x14ac:dyDescent="0.35">
      <c r="A66" s="21" t="s">
        <v>57</v>
      </c>
      <c r="B66" s="17">
        <v>3200</v>
      </c>
      <c r="C66" s="30">
        <f>+C26-C28+C56</f>
        <v>-37500000</v>
      </c>
      <c r="D66" s="51">
        <f>+D26-D28+D56</f>
        <v>-6916666.6666666679</v>
      </c>
      <c r="E66" s="51">
        <f>+E26-E28+E56</f>
        <v>-30583333.333333336</v>
      </c>
    </row>
    <row r="67" spans="1:5" ht="16.3" thickBot="1" x14ac:dyDescent="0.35">
      <c r="B67" s="101"/>
      <c r="C67" s="3"/>
      <c r="D67" s="4"/>
      <c r="E67" s="5"/>
    </row>
    <row r="68" spans="1:5" ht="16.3" thickBot="1" x14ac:dyDescent="0.35">
      <c r="A68" s="34" t="s">
        <v>58</v>
      </c>
      <c r="B68" s="17">
        <v>3239</v>
      </c>
      <c r="C68" s="36">
        <f>SUM(C69:C99)</f>
        <v>37000000</v>
      </c>
      <c r="D68" s="61">
        <f>SUM(D69:D99)</f>
        <v>6166666.6666666651</v>
      </c>
      <c r="E68" s="61">
        <f>SUM(E69:E99)</f>
        <v>30833333.333333332</v>
      </c>
    </row>
    <row r="69" spans="1:5" ht="16.3" thickBot="1" x14ac:dyDescent="0.35">
      <c r="A69" s="22" t="s">
        <v>137</v>
      </c>
      <c r="B69" s="17">
        <v>3201</v>
      </c>
      <c r="C69" s="6">
        <v>1000000</v>
      </c>
      <c r="D69" s="62">
        <f>+C69*$D$7</f>
        <v>166666.66666666666</v>
      </c>
      <c r="E69" s="63">
        <f>+C69-D69</f>
        <v>833333.33333333337</v>
      </c>
    </row>
    <row r="70" spans="1:5" ht="16.3" thickBot="1" x14ac:dyDescent="0.35">
      <c r="A70" s="22" t="s">
        <v>121</v>
      </c>
      <c r="B70" s="17">
        <v>3202</v>
      </c>
      <c r="C70" s="6">
        <v>1000000</v>
      </c>
      <c r="D70" s="62">
        <f t="shared" ref="D70:D99" si="6">+C70*$D$7</f>
        <v>166666.66666666666</v>
      </c>
      <c r="E70" s="63">
        <f t="shared" ref="E70:E99" si="7">+C70-D70</f>
        <v>833333.33333333337</v>
      </c>
    </row>
    <row r="71" spans="1:5" ht="16.3" thickBot="1" x14ac:dyDescent="0.35">
      <c r="A71" s="22" t="s">
        <v>59</v>
      </c>
      <c r="B71" s="17">
        <v>3203</v>
      </c>
      <c r="C71" s="6">
        <v>1000000</v>
      </c>
      <c r="D71" s="62">
        <f t="shared" si="6"/>
        <v>166666.66666666666</v>
      </c>
      <c r="E71" s="63">
        <f t="shared" si="7"/>
        <v>833333.33333333337</v>
      </c>
    </row>
    <row r="72" spans="1:5" ht="31.95" thickBot="1" x14ac:dyDescent="0.35">
      <c r="A72" s="22" t="s">
        <v>60</v>
      </c>
      <c r="B72" s="17">
        <v>3204</v>
      </c>
      <c r="C72" s="6">
        <v>1000000</v>
      </c>
      <c r="D72" s="62">
        <f t="shared" si="6"/>
        <v>166666.66666666666</v>
      </c>
      <c r="E72" s="63">
        <f t="shared" si="7"/>
        <v>833333.33333333337</v>
      </c>
    </row>
    <row r="73" spans="1:5" ht="16.3" thickBot="1" x14ac:dyDescent="0.35">
      <c r="A73" s="22" t="s">
        <v>61</v>
      </c>
      <c r="B73" s="17">
        <v>3205</v>
      </c>
      <c r="C73" s="6">
        <v>1000000</v>
      </c>
      <c r="D73" s="62">
        <f t="shared" si="6"/>
        <v>166666.66666666666</v>
      </c>
      <c r="E73" s="63">
        <f t="shared" si="7"/>
        <v>833333.33333333337</v>
      </c>
    </row>
    <row r="74" spans="1:5" ht="16.3" thickBot="1" x14ac:dyDescent="0.35">
      <c r="A74" s="22" t="s">
        <v>62</v>
      </c>
      <c r="B74" s="17">
        <v>3206</v>
      </c>
      <c r="C74" s="6">
        <v>1000000</v>
      </c>
      <c r="D74" s="62">
        <f t="shared" si="6"/>
        <v>166666.66666666666</v>
      </c>
      <c r="E74" s="63">
        <f t="shared" si="7"/>
        <v>833333.33333333337</v>
      </c>
    </row>
    <row r="75" spans="1:5" ht="31.95" thickBot="1" x14ac:dyDescent="0.35">
      <c r="A75" s="22" t="s">
        <v>63</v>
      </c>
      <c r="B75" s="17">
        <v>3207</v>
      </c>
      <c r="C75" s="6">
        <v>1000000</v>
      </c>
      <c r="D75" s="62">
        <f t="shared" si="6"/>
        <v>166666.66666666666</v>
      </c>
      <c r="E75" s="63">
        <f t="shared" si="7"/>
        <v>833333.33333333337</v>
      </c>
    </row>
    <row r="76" spans="1:5" ht="26.3" customHeight="1" thickBot="1" x14ac:dyDescent="0.35">
      <c r="A76" s="22" t="s">
        <v>136</v>
      </c>
      <c r="B76" s="17">
        <v>3208</v>
      </c>
      <c r="C76" s="6">
        <v>1000000</v>
      </c>
      <c r="D76" s="62">
        <f t="shared" si="6"/>
        <v>166666.66666666666</v>
      </c>
      <c r="E76" s="63">
        <f t="shared" si="7"/>
        <v>833333.33333333337</v>
      </c>
    </row>
    <row r="77" spans="1:5" ht="16.3" thickBot="1" x14ac:dyDescent="0.35">
      <c r="A77" s="22" t="s">
        <v>64</v>
      </c>
      <c r="B77" s="17">
        <v>3209</v>
      </c>
      <c r="C77" s="6">
        <v>1000000</v>
      </c>
      <c r="D77" s="62">
        <f t="shared" si="6"/>
        <v>166666.66666666666</v>
      </c>
      <c r="E77" s="63">
        <f t="shared" si="7"/>
        <v>833333.33333333337</v>
      </c>
    </row>
    <row r="78" spans="1:5" ht="31.95" thickBot="1" x14ac:dyDescent="0.35">
      <c r="A78" s="22" t="s">
        <v>65</v>
      </c>
      <c r="B78" s="17">
        <v>3210</v>
      </c>
      <c r="C78" s="6">
        <v>1000000</v>
      </c>
      <c r="D78" s="62">
        <f t="shared" si="6"/>
        <v>166666.66666666666</v>
      </c>
      <c r="E78" s="63">
        <f t="shared" si="7"/>
        <v>833333.33333333337</v>
      </c>
    </row>
    <row r="79" spans="1:5" ht="16.3" thickBot="1" x14ac:dyDescent="0.35">
      <c r="A79" s="22" t="s">
        <v>66</v>
      </c>
      <c r="B79" s="17">
        <v>3211</v>
      </c>
      <c r="C79" s="6">
        <v>1000000</v>
      </c>
      <c r="D79" s="62">
        <f t="shared" si="6"/>
        <v>166666.66666666666</v>
      </c>
      <c r="E79" s="63">
        <f t="shared" si="7"/>
        <v>833333.33333333337</v>
      </c>
    </row>
    <row r="80" spans="1:5" ht="16.3" thickBot="1" x14ac:dyDescent="0.35">
      <c r="A80" s="22" t="s">
        <v>67</v>
      </c>
      <c r="B80" s="17">
        <v>3212</v>
      </c>
      <c r="C80" s="6">
        <v>1000000</v>
      </c>
      <c r="D80" s="62">
        <f t="shared" si="6"/>
        <v>166666.66666666666</v>
      </c>
      <c r="E80" s="63">
        <f t="shared" si="7"/>
        <v>833333.33333333337</v>
      </c>
    </row>
    <row r="81" spans="1:5" ht="31.95" thickBot="1" x14ac:dyDescent="0.35">
      <c r="A81" s="22" t="s">
        <v>68</v>
      </c>
      <c r="B81" s="17">
        <v>3213</v>
      </c>
      <c r="C81" s="6">
        <v>1000000</v>
      </c>
      <c r="D81" s="62">
        <f t="shared" si="6"/>
        <v>166666.66666666666</v>
      </c>
      <c r="E81" s="63">
        <f t="shared" si="7"/>
        <v>833333.33333333337</v>
      </c>
    </row>
    <row r="82" spans="1:5" ht="31.95" thickBot="1" x14ac:dyDescent="0.35">
      <c r="A82" s="22" t="s">
        <v>69</v>
      </c>
      <c r="B82" s="17">
        <v>3215</v>
      </c>
      <c r="C82" s="6">
        <v>1000000</v>
      </c>
      <c r="D82" s="62">
        <f t="shared" si="6"/>
        <v>166666.66666666666</v>
      </c>
      <c r="E82" s="63">
        <f t="shared" si="7"/>
        <v>833333.33333333337</v>
      </c>
    </row>
    <row r="83" spans="1:5" ht="31.95" thickBot="1" x14ac:dyDescent="0.35">
      <c r="A83" s="22" t="s">
        <v>70</v>
      </c>
      <c r="B83" s="17">
        <v>3228</v>
      </c>
      <c r="C83" s="6">
        <v>1000000</v>
      </c>
      <c r="D83" s="62">
        <f t="shared" si="6"/>
        <v>166666.66666666666</v>
      </c>
      <c r="E83" s="63">
        <f t="shared" si="7"/>
        <v>833333.33333333337</v>
      </c>
    </row>
    <row r="84" spans="1:5" ht="31.95" thickBot="1" x14ac:dyDescent="0.35">
      <c r="A84" s="22" t="s">
        <v>71</v>
      </c>
      <c r="B84" s="17">
        <v>3216</v>
      </c>
      <c r="C84" s="6">
        <v>1000000</v>
      </c>
      <c r="D84" s="62">
        <f t="shared" si="6"/>
        <v>166666.66666666666</v>
      </c>
      <c r="E84" s="63">
        <f t="shared" si="7"/>
        <v>833333.33333333337</v>
      </c>
    </row>
    <row r="85" spans="1:5" ht="16.3" thickBot="1" x14ac:dyDescent="0.35">
      <c r="A85" s="22" t="s">
        <v>72</v>
      </c>
      <c r="B85" s="17">
        <v>3217</v>
      </c>
      <c r="C85" s="6">
        <v>1000000</v>
      </c>
      <c r="D85" s="62">
        <f t="shared" si="6"/>
        <v>166666.66666666666</v>
      </c>
      <c r="E85" s="63">
        <f t="shared" si="7"/>
        <v>833333.33333333337</v>
      </c>
    </row>
    <row r="86" spans="1:5" ht="16.3" thickBot="1" x14ac:dyDescent="0.35">
      <c r="A86" s="22" t="s">
        <v>73</v>
      </c>
      <c r="B86" s="17">
        <v>3218</v>
      </c>
      <c r="C86" s="6">
        <v>1000000</v>
      </c>
      <c r="D86" s="62">
        <f t="shared" si="6"/>
        <v>166666.66666666666</v>
      </c>
      <c r="E86" s="63">
        <f t="shared" si="7"/>
        <v>833333.33333333337</v>
      </c>
    </row>
    <row r="87" spans="1:5" ht="16.3" thickBot="1" x14ac:dyDescent="0.35">
      <c r="A87" s="22" t="s">
        <v>74</v>
      </c>
      <c r="B87" s="17">
        <v>3220</v>
      </c>
      <c r="C87" s="6">
        <v>1000000</v>
      </c>
      <c r="D87" s="62">
        <f t="shared" si="6"/>
        <v>166666.66666666666</v>
      </c>
      <c r="E87" s="63">
        <f t="shared" si="7"/>
        <v>833333.33333333337</v>
      </c>
    </row>
    <row r="88" spans="1:5" ht="16.3" thickBot="1" x14ac:dyDescent="0.35">
      <c r="A88" s="22" t="s">
        <v>75</v>
      </c>
      <c r="B88" s="17">
        <v>3225</v>
      </c>
      <c r="C88" s="6">
        <v>1000000</v>
      </c>
      <c r="D88" s="62">
        <f t="shared" si="6"/>
        <v>166666.66666666666</v>
      </c>
      <c r="E88" s="63">
        <f t="shared" si="7"/>
        <v>833333.33333333337</v>
      </c>
    </row>
    <row r="89" spans="1:5" ht="16.3" thickBot="1" x14ac:dyDescent="0.35">
      <c r="A89" s="22" t="s">
        <v>76</v>
      </c>
      <c r="B89" s="17">
        <v>3226</v>
      </c>
      <c r="C89" s="6">
        <v>1000000</v>
      </c>
      <c r="D89" s="62">
        <f t="shared" si="6"/>
        <v>166666.66666666666</v>
      </c>
      <c r="E89" s="63">
        <f t="shared" si="7"/>
        <v>833333.33333333337</v>
      </c>
    </row>
    <row r="90" spans="1:5" ht="31.95" thickBot="1" x14ac:dyDescent="0.35">
      <c r="A90" s="22" t="s">
        <v>77</v>
      </c>
      <c r="B90" s="17">
        <v>322902</v>
      </c>
      <c r="C90" s="6">
        <v>1000000</v>
      </c>
      <c r="D90" s="62">
        <f t="shared" si="6"/>
        <v>166666.66666666666</v>
      </c>
      <c r="E90" s="63">
        <f t="shared" si="7"/>
        <v>833333.33333333337</v>
      </c>
    </row>
    <row r="91" spans="1:5" ht="16.3" thickBot="1" x14ac:dyDescent="0.35">
      <c r="A91" s="22" t="s">
        <v>78</v>
      </c>
      <c r="B91" s="17">
        <v>322904</v>
      </c>
      <c r="C91" s="6">
        <v>1000000</v>
      </c>
      <c r="D91" s="62">
        <f t="shared" si="6"/>
        <v>166666.66666666666</v>
      </c>
      <c r="E91" s="63">
        <f t="shared" si="7"/>
        <v>833333.33333333337</v>
      </c>
    </row>
    <row r="92" spans="1:5" ht="16.3" thickBot="1" x14ac:dyDescent="0.35">
      <c r="A92" s="22" t="s">
        <v>79</v>
      </c>
      <c r="B92" s="17">
        <v>3230</v>
      </c>
      <c r="C92" s="6">
        <v>1000000</v>
      </c>
      <c r="D92" s="62">
        <f t="shared" si="6"/>
        <v>166666.66666666666</v>
      </c>
      <c r="E92" s="63">
        <f t="shared" si="7"/>
        <v>833333.33333333337</v>
      </c>
    </row>
    <row r="93" spans="1:5" ht="16.3" thickBot="1" x14ac:dyDescent="0.35">
      <c r="A93" s="22" t="s">
        <v>80</v>
      </c>
      <c r="B93" s="17">
        <v>3234</v>
      </c>
      <c r="C93" s="6">
        <v>1000000</v>
      </c>
      <c r="D93" s="62">
        <f t="shared" si="6"/>
        <v>166666.66666666666</v>
      </c>
      <c r="E93" s="63">
        <f t="shared" si="7"/>
        <v>833333.33333333337</v>
      </c>
    </row>
    <row r="94" spans="1:5" ht="16.3" thickBot="1" x14ac:dyDescent="0.35">
      <c r="A94" s="22" t="s">
        <v>81</v>
      </c>
      <c r="B94" s="17">
        <v>3235</v>
      </c>
      <c r="C94" s="69">
        <f>+C51</f>
        <v>1500000</v>
      </c>
      <c r="D94" s="62">
        <f t="shared" si="6"/>
        <v>250000</v>
      </c>
      <c r="E94" s="63">
        <f t="shared" si="7"/>
        <v>1250000</v>
      </c>
    </row>
    <row r="95" spans="1:5" ht="16.3" thickBot="1" x14ac:dyDescent="0.35">
      <c r="A95" s="22" t="s">
        <v>82</v>
      </c>
      <c r="B95" s="17">
        <v>3236</v>
      </c>
      <c r="C95" s="69">
        <f>+C52</f>
        <v>1500000</v>
      </c>
      <c r="D95" s="62">
        <f t="shared" si="6"/>
        <v>250000</v>
      </c>
      <c r="E95" s="63">
        <f t="shared" si="7"/>
        <v>1250000</v>
      </c>
    </row>
    <row r="96" spans="1:5" ht="16.3" thickBot="1" x14ac:dyDescent="0.35">
      <c r="A96" s="22" t="s">
        <v>83</v>
      </c>
      <c r="B96" s="17">
        <v>3237</v>
      </c>
      <c r="C96" s="69">
        <f>C53+C24</f>
        <v>3000000</v>
      </c>
      <c r="D96" s="62">
        <f t="shared" si="6"/>
        <v>500000</v>
      </c>
      <c r="E96" s="63">
        <f t="shared" si="7"/>
        <v>2500000</v>
      </c>
    </row>
    <row r="97" spans="1:6" ht="16.3" thickBot="1" x14ac:dyDescent="0.35">
      <c r="A97" s="22" t="s">
        <v>84</v>
      </c>
      <c r="B97" s="17">
        <v>3238</v>
      </c>
      <c r="C97" s="69">
        <f>C54+C25</f>
        <v>3000000</v>
      </c>
      <c r="D97" s="62">
        <f t="shared" si="6"/>
        <v>500000</v>
      </c>
      <c r="E97" s="63">
        <f t="shared" si="7"/>
        <v>2500000</v>
      </c>
    </row>
    <row r="98" spans="1:6" ht="16.3" thickBot="1" x14ac:dyDescent="0.35">
      <c r="A98" s="22" t="s">
        <v>75</v>
      </c>
      <c r="B98" s="17" t="s">
        <v>139</v>
      </c>
      <c r="C98" s="69">
        <f>+C63</f>
        <v>1500000</v>
      </c>
      <c r="D98" s="62">
        <f t="shared" si="6"/>
        <v>250000</v>
      </c>
      <c r="E98" s="63">
        <f t="shared" si="7"/>
        <v>1250000</v>
      </c>
    </row>
    <row r="99" spans="1:6" ht="16.3" thickBot="1" x14ac:dyDescent="0.35">
      <c r="A99" s="22" t="s">
        <v>76</v>
      </c>
      <c r="B99" s="17" t="s">
        <v>140</v>
      </c>
      <c r="C99" s="69">
        <f>+C64</f>
        <v>1500000</v>
      </c>
      <c r="D99" s="62">
        <f t="shared" si="6"/>
        <v>250000</v>
      </c>
      <c r="E99" s="63">
        <f t="shared" si="7"/>
        <v>1250000</v>
      </c>
    </row>
    <row r="100" spans="1:6" ht="15.65" thickBot="1" x14ac:dyDescent="0.35">
      <c r="A100" s="8"/>
      <c r="B100" s="98"/>
    </row>
    <row r="101" spans="1:6" ht="29.45" thickBot="1" x14ac:dyDescent="0.35">
      <c r="A101" s="37" t="s">
        <v>86</v>
      </c>
      <c r="B101" s="101"/>
      <c r="C101" s="30">
        <f>SUM(C102:C106)</f>
        <v>7500000</v>
      </c>
      <c r="D101" s="51">
        <f>SUM(D102:D106)</f>
        <v>1250000</v>
      </c>
      <c r="E101" s="51">
        <f>SUM(E102:E106)</f>
        <v>6250000</v>
      </c>
    </row>
    <row r="102" spans="1:6" ht="16.3" thickBot="1" x14ac:dyDescent="0.35">
      <c r="A102" s="22" t="s">
        <v>54</v>
      </c>
      <c r="B102" s="17">
        <v>3245</v>
      </c>
      <c r="C102" s="3">
        <v>1500000</v>
      </c>
      <c r="D102" s="62">
        <f t="shared" ref="D102:D106" si="8">+C102*$D$7</f>
        <v>250000</v>
      </c>
      <c r="E102" s="53">
        <f>+C102-D102</f>
        <v>1250000</v>
      </c>
    </row>
    <row r="103" spans="1:6" ht="16.3" thickBot="1" x14ac:dyDescent="0.35">
      <c r="A103" s="22" t="s">
        <v>55</v>
      </c>
      <c r="B103" s="17">
        <v>3246</v>
      </c>
      <c r="C103" s="3">
        <v>1500000</v>
      </c>
      <c r="D103" s="62">
        <f t="shared" si="8"/>
        <v>250000</v>
      </c>
      <c r="E103" s="53">
        <f>+C103-D103</f>
        <v>1250000</v>
      </c>
    </row>
    <row r="104" spans="1:6" ht="16.3" thickBot="1" x14ac:dyDescent="0.35">
      <c r="A104" s="22" t="s">
        <v>87</v>
      </c>
      <c r="B104" s="17">
        <v>3254</v>
      </c>
      <c r="C104" s="3">
        <v>1500000</v>
      </c>
      <c r="D104" s="62">
        <f t="shared" si="8"/>
        <v>250000</v>
      </c>
      <c r="E104" s="53">
        <f>+C104-D104</f>
        <v>1250000</v>
      </c>
    </row>
    <row r="105" spans="1:6" ht="16.3" thickBot="1" x14ac:dyDescent="0.35">
      <c r="A105" s="22" t="s">
        <v>88</v>
      </c>
      <c r="B105" s="17">
        <v>3255</v>
      </c>
      <c r="C105" s="3">
        <v>1500000</v>
      </c>
      <c r="D105" s="62">
        <f t="shared" si="8"/>
        <v>250000</v>
      </c>
      <c r="E105" s="53">
        <f>+C105-D105</f>
        <v>1250000</v>
      </c>
    </row>
    <row r="106" spans="1:6" ht="16.3" thickBot="1" x14ac:dyDescent="0.35">
      <c r="A106" s="22" t="s">
        <v>89</v>
      </c>
      <c r="B106" s="17">
        <v>3256</v>
      </c>
      <c r="C106" s="3">
        <v>1500000</v>
      </c>
      <c r="D106" s="62">
        <f t="shared" si="8"/>
        <v>250000</v>
      </c>
      <c r="E106" s="53">
        <f>+C106-D106</f>
        <v>1250000</v>
      </c>
    </row>
    <row r="107" spans="1:6" ht="15.65" thickBot="1" x14ac:dyDescent="0.35">
      <c r="A107" s="8"/>
      <c r="B107" s="98"/>
    </row>
    <row r="108" spans="1:6" ht="29.45" thickBot="1" x14ac:dyDescent="0.35">
      <c r="A108" s="37" t="s">
        <v>85</v>
      </c>
      <c r="B108" s="17">
        <v>3270</v>
      </c>
      <c r="C108" s="30">
        <f>+C66+C68-C101</f>
        <v>-8000000</v>
      </c>
      <c r="D108" s="51">
        <f>+D66+D68-D101</f>
        <v>-2000000.0000000028</v>
      </c>
      <c r="E108" s="51">
        <f>+E66+E68-E101</f>
        <v>-6000000.0000000037</v>
      </c>
    </row>
    <row r="109" spans="1:6" customFormat="1" ht="15.65" thickBot="1" x14ac:dyDescent="0.35">
      <c r="B109" s="102"/>
    </row>
    <row r="110" spans="1:6" ht="29.45" thickBot="1" x14ac:dyDescent="0.35">
      <c r="A110" s="37" t="s">
        <v>90</v>
      </c>
      <c r="B110" s="101"/>
      <c r="C110" s="30">
        <f>SUM(C111:C113)</f>
        <v>4500000</v>
      </c>
      <c r="D110" s="51">
        <f>SUM(D111:D113)</f>
        <v>750000</v>
      </c>
      <c r="E110" s="51">
        <f>SUM(E111:E113)</f>
        <v>3750000</v>
      </c>
    </row>
    <row r="111" spans="1:6" ht="16.3" thickBot="1" x14ac:dyDescent="0.35">
      <c r="A111" s="22" t="s">
        <v>91</v>
      </c>
      <c r="B111" s="101"/>
      <c r="C111" s="3">
        <f>$F$112*0.3</f>
        <v>1500000</v>
      </c>
      <c r="D111" s="62">
        <f t="shared" ref="D111:D113" si="9">+C111*$D$7</f>
        <v>250000</v>
      </c>
      <c r="E111" s="53">
        <f>+C111-D111</f>
        <v>1250000</v>
      </c>
    </row>
    <row r="112" spans="1:6" ht="16.3" thickBot="1" x14ac:dyDescent="0.35">
      <c r="A112" s="22" t="s">
        <v>92</v>
      </c>
      <c r="B112" s="101"/>
      <c r="C112" s="3">
        <f>$F$112*0.3</f>
        <v>1500000</v>
      </c>
      <c r="D112" s="62">
        <f t="shared" si="9"/>
        <v>250000</v>
      </c>
      <c r="E112" s="53">
        <f>+C112-D112</f>
        <v>1250000</v>
      </c>
      <c r="F112" s="105">
        <v>5000000</v>
      </c>
    </row>
    <row r="113" spans="1:5" ht="16.3" thickBot="1" x14ac:dyDescent="0.35">
      <c r="A113" s="22" t="s">
        <v>93</v>
      </c>
      <c r="B113" s="101"/>
      <c r="C113" s="3">
        <f>$F$112*0.3</f>
        <v>1500000</v>
      </c>
      <c r="D113" s="62">
        <f t="shared" si="9"/>
        <v>250000</v>
      </c>
      <c r="E113" s="53">
        <f>+C113-D113</f>
        <v>1250000</v>
      </c>
    </row>
    <row r="114" spans="1:5" customFormat="1" ht="15.65" thickBot="1" x14ac:dyDescent="0.35">
      <c r="B114" s="102"/>
    </row>
    <row r="115" spans="1:5" ht="16.3" thickBot="1" x14ac:dyDescent="0.35">
      <c r="A115" s="26" t="s">
        <v>94</v>
      </c>
      <c r="B115" s="17">
        <v>3000</v>
      </c>
      <c r="C115" s="87">
        <f>+C108-C110</f>
        <v>-12500000</v>
      </c>
      <c r="D115" s="88">
        <f>+D108-D110</f>
        <v>-2750000.0000000028</v>
      </c>
      <c r="E115" s="88">
        <f>+E108-E110</f>
        <v>-9750000.0000000037</v>
      </c>
    </row>
    <row r="116" spans="1:5" ht="16.3" thickBot="1" x14ac:dyDescent="0.35">
      <c r="A116" s="26" t="s">
        <v>95</v>
      </c>
      <c r="B116" s="17">
        <v>2000</v>
      </c>
      <c r="C116" s="3">
        <v>0</v>
      </c>
      <c r="D116" s="64">
        <v>0</v>
      </c>
      <c r="E116" s="32">
        <f>+C116-D116</f>
        <v>0</v>
      </c>
    </row>
    <row r="117" spans="1:5" ht="16.3" thickBot="1" x14ac:dyDescent="0.35">
      <c r="A117" s="26" t="s">
        <v>96</v>
      </c>
      <c r="B117" s="101" t="s">
        <v>142</v>
      </c>
      <c r="C117" s="3">
        <v>0</v>
      </c>
      <c r="D117" s="64">
        <v>0</v>
      </c>
      <c r="E117" s="32">
        <f t="shared" ref="E117:E120" si="10">+C117-D117</f>
        <v>0</v>
      </c>
    </row>
    <row r="118" spans="1:5" ht="16.3" thickBot="1" x14ac:dyDescent="0.35">
      <c r="A118" s="26" t="s">
        <v>97</v>
      </c>
      <c r="B118" s="17">
        <v>5000</v>
      </c>
      <c r="C118" s="3">
        <v>0</v>
      </c>
      <c r="D118" s="64">
        <v>0</v>
      </c>
      <c r="E118" s="32">
        <f t="shared" si="10"/>
        <v>0</v>
      </c>
    </row>
    <row r="119" spans="1:5" ht="16.3" thickBot="1" x14ac:dyDescent="0.35">
      <c r="A119" s="26" t="s">
        <v>98</v>
      </c>
      <c r="B119" s="17">
        <v>6000</v>
      </c>
      <c r="C119" s="3">
        <v>0</v>
      </c>
      <c r="D119" s="64">
        <v>0</v>
      </c>
      <c r="E119" s="32">
        <f t="shared" si="10"/>
        <v>0</v>
      </c>
    </row>
    <row r="120" spans="1:5" ht="16.3" thickBot="1" x14ac:dyDescent="0.35">
      <c r="A120" s="26" t="s">
        <v>99</v>
      </c>
      <c r="B120" s="17">
        <v>6100</v>
      </c>
      <c r="C120" s="3">
        <v>0</v>
      </c>
      <c r="D120" s="64">
        <v>0</v>
      </c>
      <c r="E120" s="32">
        <f t="shared" si="10"/>
        <v>0</v>
      </c>
    </row>
    <row r="121" spans="1:5" ht="15.65" x14ac:dyDescent="0.3">
      <c r="A121" s="39" t="s">
        <v>100</v>
      </c>
      <c r="B121" s="17">
        <v>9000</v>
      </c>
      <c r="C121" s="30">
        <f>SUM(C115:C120)</f>
        <v>-12500000</v>
      </c>
      <c r="D121" s="30">
        <f>SUM(D115:D120)</f>
        <v>-2750000.0000000028</v>
      </c>
      <c r="E121" s="30">
        <f>SUM(E115:E120)</f>
        <v>-9750000.0000000037</v>
      </c>
    </row>
    <row r="122" spans="1:5" customFormat="1" ht="15.65" thickBot="1" x14ac:dyDescent="0.35">
      <c r="B122" s="102"/>
    </row>
    <row r="123" spans="1:5" ht="16.3" thickBot="1" x14ac:dyDescent="0.35">
      <c r="A123" s="39" t="s">
        <v>101</v>
      </c>
      <c r="B123" s="17">
        <v>9009</v>
      </c>
      <c r="C123" s="30">
        <f>SUM(C124:C124)</f>
        <v>1500000</v>
      </c>
      <c r="D123" s="65"/>
      <c r="E123" s="51">
        <f>SUM(E124:E124)</f>
        <v>1500000</v>
      </c>
    </row>
    <row r="124" spans="1:5" ht="16.3" thickBot="1" x14ac:dyDescent="0.35">
      <c r="A124" s="26" t="s">
        <v>102</v>
      </c>
      <c r="B124" s="17">
        <v>9002</v>
      </c>
      <c r="C124" s="3">
        <v>1500000</v>
      </c>
      <c r="D124" s="65"/>
      <c r="E124" s="53">
        <f>C124-D124</f>
        <v>1500000</v>
      </c>
    </row>
    <row r="125" spans="1:5" customFormat="1" x14ac:dyDescent="0.3">
      <c r="B125" s="102"/>
    </row>
    <row r="126" spans="1:5" ht="15.65" x14ac:dyDescent="0.3">
      <c r="A126" s="39" t="s">
        <v>103</v>
      </c>
      <c r="B126" s="17">
        <v>9100</v>
      </c>
      <c r="C126" s="30">
        <f>+C121-C123</f>
        <v>-14000000</v>
      </c>
      <c r="D126" s="90"/>
      <c r="E126" s="30">
        <f>+E121-E123</f>
        <v>-11250000.000000004</v>
      </c>
    </row>
    <row r="127" spans="1:5" customFormat="1" ht="15.65" thickBot="1" x14ac:dyDescent="0.35">
      <c r="B127" s="103"/>
    </row>
    <row r="128" spans="1:5" ht="48.85" thickBot="1" x14ac:dyDescent="0.35">
      <c r="A128" s="39" t="s">
        <v>104</v>
      </c>
      <c r="B128" s="17">
        <v>9200</v>
      </c>
      <c r="C128" s="90"/>
      <c r="D128" s="90"/>
      <c r="E128" s="43">
        <f>(MAX(E129,E131,E132)+E130)+E133+E134+E135+E136+E137</f>
        <v>25000</v>
      </c>
    </row>
    <row r="129" spans="1:6" ht="16.3" thickBot="1" x14ac:dyDescent="0.35">
      <c r="A129" s="67" t="s">
        <v>105</v>
      </c>
      <c r="B129" s="103">
        <v>920000</v>
      </c>
      <c r="C129" s="90"/>
      <c r="D129" s="90"/>
      <c r="E129" s="32">
        <f>IF(E126&gt;0,E126*0.29,0)</f>
        <v>0</v>
      </c>
    </row>
    <row r="130" spans="1:6" ht="16.3" thickBot="1" x14ac:dyDescent="0.35">
      <c r="A130" s="67" t="s">
        <v>106</v>
      </c>
      <c r="B130">
        <v>920100</v>
      </c>
      <c r="C130" s="90"/>
      <c r="D130" s="90"/>
      <c r="E130" s="32">
        <f>+D5*0.025</f>
        <v>25000</v>
      </c>
    </row>
    <row r="131" spans="1:6" ht="16.3" thickBot="1" x14ac:dyDescent="0.35">
      <c r="A131" s="67" t="s">
        <v>109</v>
      </c>
      <c r="B131">
        <v>923173</v>
      </c>
      <c r="C131" s="90"/>
      <c r="D131" s="90"/>
      <c r="E131" s="32">
        <f>IF(C66&gt;0,C66*0.17,0)</f>
        <v>0</v>
      </c>
    </row>
    <row r="132" spans="1:6" ht="16.3" thickBot="1" x14ac:dyDescent="0.35">
      <c r="A132" s="84" t="s">
        <v>123</v>
      </c>
      <c r="B132">
        <v>923195</v>
      </c>
      <c r="C132" s="90"/>
      <c r="D132" s="90"/>
      <c r="E132" s="32">
        <f>IF(E3&gt;100000000,E3*0.0125,0)</f>
        <v>0</v>
      </c>
    </row>
    <row r="133" spans="1:6" ht="14.4" customHeight="1" thickBot="1" x14ac:dyDescent="0.35">
      <c r="A133" s="67" t="s">
        <v>110</v>
      </c>
      <c r="B133">
        <v>923194</v>
      </c>
      <c r="C133" s="90"/>
      <c r="D133" s="90"/>
      <c r="E133" s="32">
        <f>IF((E132&gt;E129),(E132-E129),0)</f>
        <v>0</v>
      </c>
      <c r="F133" s="13"/>
    </row>
    <row r="134" spans="1:6" ht="31.95" hidden="1" thickBot="1" x14ac:dyDescent="0.35">
      <c r="A134" s="85" t="s">
        <v>134</v>
      </c>
      <c r="B134" s="103"/>
      <c r="C134" s="45"/>
      <c r="D134" s="45"/>
      <c r="E134" s="5"/>
    </row>
    <row r="135" spans="1:6" ht="141.5" hidden="1" customHeight="1" thickBot="1" x14ac:dyDescent="0.35">
      <c r="A135" s="86" t="s">
        <v>135</v>
      </c>
      <c r="B135" s="103"/>
      <c r="C135" s="90"/>
      <c r="D135" s="89"/>
      <c r="E135" s="5"/>
      <c r="F135" s="8" t="s">
        <v>133</v>
      </c>
    </row>
    <row r="136" spans="1:6" ht="16.3" hidden="1" thickBot="1" x14ac:dyDescent="0.35">
      <c r="A136" s="12" t="s">
        <v>111</v>
      </c>
      <c r="B136" s="103"/>
      <c r="C136" s="90"/>
      <c r="D136" s="90"/>
      <c r="E136" s="1">
        <f>IF(E131&gt;E129,(E131-E129),0)</f>
        <v>0</v>
      </c>
    </row>
    <row r="137" spans="1:6" ht="1.25" customHeight="1" thickBot="1" x14ac:dyDescent="0.35">
      <c r="A137" s="39"/>
      <c r="B137" s="103"/>
      <c r="C137" s="90"/>
      <c r="D137" s="90"/>
      <c r="E137" s="1"/>
    </row>
    <row r="138" spans="1:6" customFormat="1" ht="15.65" hidden="1" thickBot="1" x14ac:dyDescent="0.35">
      <c r="B138" s="103"/>
    </row>
    <row r="139" spans="1:6" ht="16.3" thickBot="1" x14ac:dyDescent="0.35">
      <c r="A139" s="39" t="s">
        <v>122</v>
      </c>
      <c r="B139" s="17">
        <v>9329</v>
      </c>
      <c r="C139" s="90"/>
      <c r="D139" s="90"/>
      <c r="E139" s="31">
        <f>SUM(E140:E141)</f>
        <v>25000</v>
      </c>
    </row>
    <row r="140" spans="1:6" ht="16.3" thickBot="1" x14ac:dyDescent="0.35">
      <c r="A140" s="40" t="s">
        <v>107</v>
      </c>
      <c r="B140" s="19">
        <v>9311</v>
      </c>
      <c r="C140" s="3">
        <v>1500000</v>
      </c>
      <c r="D140" s="90"/>
      <c r="E140" s="32">
        <f>IF(E126&gt;0,MIN((E128/E126*C140),(0.2*E126)),0)</f>
        <v>0</v>
      </c>
    </row>
    <row r="141" spans="1:6" ht="16.3" thickBot="1" x14ac:dyDescent="0.35">
      <c r="A141" s="40" t="s">
        <v>108</v>
      </c>
      <c r="B141" s="19">
        <v>931901</v>
      </c>
      <c r="C141" s="38">
        <f>IF(C142="Yes",E128,"")</f>
        <v>25000</v>
      </c>
      <c r="D141" s="90"/>
      <c r="E141" s="32">
        <f>+C141</f>
        <v>25000</v>
      </c>
    </row>
    <row r="142" spans="1:6" ht="15.65" x14ac:dyDescent="0.3">
      <c r="A142" s="66" t="s">
        <v>125</v>
      </c>
      <c r="B142" s="101"/>
      <c r="C142" s="106" t="s">
        <v>141</v>
      </c>
      <c r="D142" s="106"/>
      <c r="E142" s="107"/>
    </row>
    <row r="143" spans="1:6" customFormat="1" ht="15.65" thickBot="1" x14ac:dyDescent="0.35">
      <c r="B143" s="103"/>
    </row>
    <row r="144" spans="1:6" ht="15.65" x14ac:dyDescent="0.3">
      <c r="A144" s="41" t="s">
        <v>132</v>
      </c>
      <c r="B144" s="103"/>
      <c r="C144" s="90"/>
      <c r="D144" s="90"/>
      <c r="E144" s="77">
        <f>+E128-E139</f>
        <v>0</v>
      </c>
    </row>
    <row r="145" spans="1:5" ht="15.65" thickBot="1" x14ac:dyDescent="0.35">
      <c r="A145"/>
      <c r="B145" s="103"/>
      <c r="C145"/>
      <c r="D145"/>
      <c r="E145"/>
    </row>
    <row r="146" spans="1:5" ht="15.65" x14ac:dyDescent="0.3">
      <c r="A146" s="78" t="s">
        <v>130</v>
      </c>
      <c r="B146" s="104"/>
      <c r="C146" s="91"/>
      <c r="D146" s="92"/>
      <c r="E146" s="79">
        <f>SUM(E147:E150)</f>
        <v>11000000</v>
      </c>
    </row>
    <row r="147" spans="1:5" ht="15.65" x14ac:dyDescent="0.3">
      <c r="A147" s="80" t="s">
        <v>112</v>
      </c>
      <c r="B147" s="96">
        <v>9201</v>
      </c>
      <c r="C147" s="89"/>
      <c r="D147" s="93"/>
      <c r="E147" s="76">
        <v>1000000</v>
      </c>
    </row>
    <row r="148" spans="1:5" ht="15.65" x14ac:dyDescent="0.3">
      <c r="A148" s="80" t="s">
        <v>113</v>
      </c>
      <c r="B148" s="96">
        <v>9202</v>
      </c>
      <c r="C148" s="89"/>
      <c r="D148" s="93"/>
      <c r="E148" s="76">
        <v>10000000</v>
      </c>
    </row>
    <row r="149" spans="1:5" ht="15.65" x14ac:dyDescent="0.3">
      <c r="A149" s="81" t="s">
        <v>114</v>
      </c>
      <c r="B149" s="96">
        <v>92022</v>
      </c>
      <c r="C149" s="89"/>
      <c r="D149" s="93"/>
      <c r="E149" s="14">
        <v>0</v>
      </c>
    </row>
    <row r="150" spans="1:5" ht="16.3" thickBot="1" x14ac:dyDescent="0.35">
      <c r="A150" s="82" t="s">
        <v>116</v>
      </c>
      <c r="B150" s="97">
        <v>92021</v>
      </c>
      <c r="C150" s="94"/>
      <c r="D150" s="95"/>
      <c r="E150" s="83">
        <v>0</v>
      </c>
    </row>
    <row r="151" spans="1:5" customFormat="1" ht="15.65" thickBot="1" x14ac:dyDescent="0.35">
      <c r="B151" s="103"/>
    </row>
    <row r="152" spans="1:5" ht="16.3" thickBot="1" x14ac:dyDescent="0.35">
      <c r="A152" s="42" t="s">
        <v>115</v>
      </c>
      <c r="B152" s="96">
        <v>9203</v>
      </c>
      <c r="C152" s="90"/>
      <c r="D152" s="90"/>
      <c r="E152" s="43">
        <f>IF((E146&gt;E144),0,(E144-E146))</f>
        <v>0</v>
      </c>
    </row>
    <row r="153" spans="1:5" ht="16.3" thickBot="1" x14ac:dyDescent="0.35">
      <c r="A153" s="39" t="s">
        <v>117</v>
      </c>
      <c r="B153" s="96">
        <v>9210</v>
      </c>
      <c r="C153" s="90"/>
      <c r="D153" s="90"/>
      <c r="E153" s="44">
        <f>IF(E152&gt;0,0,(E146-E144))</f>
        <v>11000000</v>
      </c>
    </row>
    <row r="154" spans="1:5" x14ac:dyDescent="0.3">
      <c r="B154" s="98"/>
    </row>
    <row r="155" spans="1:5" ht="18.2" x14ac:dyDescent="0.3">
      <c r="A155" s="70" t="s">
        <v>128</v>
      </c>
      <c r="B155" s="98"/>
      <c r="C155" s="68"/>
    </row>
    <row r="156" spans="1:5" ht="15.65" x14ac:dyDescent="0.3">
      <c r="A156" s="73" t="s">
        <v>124</v>
      </c>
      <c r="B156" s="98"/>
    </row>
    <row r="157" spans="1:5" ht="15.65" x14ac:dyDescent="0.3">
      <c r="A157" s="74" t="s">
        <v>131</v>
      </c>
      <c r="B157" s="98"/>
    </row>
    <row r="158" spans="1:5" ht="15.65" x14ac:dyDescent="0.3">
      <c r="A158" s="71" t="s">
        <v>129</v>
      </c>
      <c r="B158" s="98"/>
    </row>
    <row r="159" spans="1:5" ht="15.65" x14ac:dyDescent="0.3">
      <c r="A159" s="75" t="s">
        <v>127</v>
      </c>
      <c r="B159" s="98"/>
    </row>
    <row r="160" spans="1:5" ht="15.65" x14ac:dyDescent="0.3">
      <c r="A160" s="72" t="s">
        <v>126</v>
      </c>
      <c r="B160" s="98"/>
    </row>
  </sheetData>
  <mergeCells count="1">
    <mergeCell ref="C142:E142"/>
  </mergeCells>
  <pageMargins left="0.7" right="0.7" top="0.75" bottom="0.75" header="0.3" footer="0.3"/>
  <pageSetup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Computaion</vt:lpstr>
      <vt:lpstr>Computaion!Print_Area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ALI</dc:creator>
  <cp:lastModifiedBy>ZOHAIB ALI</cp:lastModifiedBy>
  <dcterms:created xsi:type="dcterms:W3CDTF">2026-02-01T11:20:58Z</dcterms:created>
  <dcterms:modified xsi:type="dcterms:W3CDTF">2026-07-11T10:56:02Z</dcterms:modified>
</cp:coreProperties>
</file>